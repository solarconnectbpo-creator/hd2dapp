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3"/>
    <sheet state="hidden" name="DATABASE" sheetId="2" r:id="rId4"/>
    <sheet state="hidden" name="PMs" sheetId="3" r:id="rId5"/>
    <sheet state="hidden" name="Crews" sheetId="4" r:id="rId6"/>
    <sheet state="hidden" name="Slope Pricing" sheetId="5" r:id="rId7"/>
    <sheet state="hidden" name="OSB" sheetId="6" r:id="rId8"/>
    <sheet state="hidden" name="Story Fee" sheetId="7" r:id="rId9"/>
    <sheet state="hidden" name="Additional Items" sheetId="8" r:id="rId10"/>
  </sheets>
  <definedNames>
    <definedName name="ROOFERS">Crews!$A$1:$A$21</definedName>
    <definedName name="STORY">'Story Fee'!$A$2:$A$5</definedName>
    <definedName name="CREW">Crews!$A$1:$A$21</definedName>
    <definedName name="MANAGER">PMs!$A$1:$A$25</definedName>
    <definedName name="DECKING">OSB!$A$1:$A$4</definedName>
    <definedName name="SLOPE">'Slope Pricing'!$A$1:$A$13</definedName>
    <definedName name="STORIES">'Story Fee'!$A$1:$A$5</definedName>
    <definedName name="EXTRA">'Additional Items'!$A$1:$A$7</definedName>
    <definedName name="EXTRAS">'Additional Items'!$A$1:$A$10</definedName>
    <definedName name="ROOFINGCREW">Crews!$A$1:$A$27</definedName>
    <definedName name="ROOFCREW">Crews!$A$1:$A$26</definedName>
  </definedNames>
  <calcPr/>
</workbook>
</file>

<file path=xl/sharedStrings.xml><?xml version="1.0" encoding="utf-8"?>
<sst xmlns="http://schemas.openxmlformats.org/spreadsheetml/2006/main" count="103" uniqueCount="88">
  <si>
    <t>ROOFING INVOICE</t>
  </si>
  <si>
    <t>INSTALL DATE:</t>
  </si>
  <si>
    <t>ROOFING CREW:</t>
  </si>
  <si>
    <t>PROJECT MANAGER:</t>
  </si>
  <si>
    <t>CUSTOMER NAME:</t>
  </si>
  <si>
    <t>SUPPLIER:</t>
  </si>
  <si>
    <t>ADDRESS:</t>
  </si>
  <si>
    <t>ACTUAL BODY SQUARES (%0 EV)</t>
  </si>
  <si>
    <t>TOTAL BODY ORDRED W/ WASTE</t>
  </si>
  <si>
    <t>WASTE FACTOR</t>
  </si>
  <si>
    <t>PER UNIT</t>
  </si>
  <si>
    <t>ACTUAL SQ</t>
  </si>
  <si>
    <t>W/ WASTE</t>
  </si>
  <si>
    <t>SUB TOTAL</t>
  </si>
  <si>
    <t>SLOPE:</t>
  </si>
  <si>
    <t>10/12</t>
  </si>
  <si>
    <t>HOTSHOT</t>
  </si>
  <si>
    <t>HIP &amp; RIDGE</t>
  </si>
  <si>
    <t>FLAT RATE</t>
  </si>
  <si>
    <t>LEFTOVER</t>
  </si>
  <si>
    <t xml:space="preserve">ACTUAL SQUARES ENTERED: </t>
  </si>
  <si>
    <t>JOB TOTAL BODY WITH WASTE (MINUS LEFTOVER)</t>
  </si>
  <si>
    <t>PRICE</t>
  </si>
  <si>
    <t>OTY</t>
  </si>
  <si>
    <t>DECKING:</t>
  </si>
  <si>
    <t>STORIES:</t>
  </si>
  <si>
    <t xml:space="preserve">2.0 STORY </t>
  </si>
  <si>
    <t>EXTRA:</t>
  </si>
  <si>
    <t>CHARGEBACK:</t>
  </si>
  <si>
    <t>NOTES:</t>
  </si>
  <si>
    <t>ordered: 163bdls/13ridge/5starter=181total returned 3</t>
  </si>
  <si>
    <t>TOTAL:</t>
  </si>
  <si>
    <t>Insurance estimate:43/43 no waste</t>
  </si>
  <si>
    <t xml:space="preserve">eagleview:43/54sq. </t>
  </si>
  <si>
    <t>*LABOR PAID ON WASTE*</t>
  </si>
  <si>
    <t>*PRICE INCLUDES R&amp;R DRIP EDGE, R&amp;R ALL VENTILATION, R&amp;R EXISTING FELT*</t>
  </si>
  <si>
    <t>CHRIS STEDMAN - DECKS BY DESIGN</t>
  </si>
  <si>
    <t>DUSTIN MOORE - MOORE GROUP</t>
  </si>
  <si>
    <t>TRAVIS BRIDGES</t>
  </si>
  <si>
    <t>MICKEY'S CREW - JUAN ARROYO</t>
  </si>
  <si>
    <t>EMILIANO RAMOS-HERNANDEZ</t>
  </si>
  <si>
    <t>OMAR RAMIREZ</t>
  </si>
  <si>
    <t>LUIS MARTINEZ</t>
  </si>
  <si>
    <t>JOE GARCIA</t>
  </si>
  <si>
    <t>MIGUEL HERRERA - GYG RESTORATIONS</t>
  </si>
  <si>
    <t>JOSE ACOSTA</t>
  </si>
  <si>
    <t>6/12</t>
  </si>
  <si>
    <t>7/12</t>
  </si>
  <si>
    <t>8/12</t>
  </si>
  <si>
    <t>9/12</t>
  </si>
  <si>
    <t>11/12</t>
  </si>
  <si>
    <t>12/12</t>
  </si>
  <si>
    <t xml:space="preserve">13/12 </t>
  </si>
  <si>
    <t xml:space="preserve">14/12 </t>
  </si>
  <si>
    <t xml:space="preserve">15/12 </t>
  </si>
  <si>
    <t xml:space="preserve">16/12 </t>
  </si>
  <si>
    <t xml:space="preserve">17/12 </t>
  </si>
  <si>
    <t xml:space="preserve">18/12 </t>
  </si>
  <si>
    <t xml:space="preserve">19/12 </t>
  </si>
  <si>
    <t xml:space="preserve">20/12 </t>
  </si>
  <si>
    <t xml:space="preserve">21/12 </t>
  </si>
  <si>
    <t xml:space="preserve">22/12 </t>
  </si>
  <si>
    <t xml:space="preserve">23/12 </t>
  </si>
  <si>
    <t xml:space="preserve">24/12 </t>
  </si>
  <si>
    <t xml:space="preserve">25/12 </t>
  </si>
  <si>
    <t xml:space="preserve">26/12 </t>
  </si>
  <si>
    <t>H/R FLAT RATE</t>
  </si>
  <si>
    <t>OSB DECKING = $20/SHEET</t>
  </si>
  <si>
    <t>OSB DECKING = $60/SQ</t>
  </si>
  <si>
    <t xml:space="preserve">1.0 STORY </t>
  </si>
  <si>
    <t xml:space="preserve">1.5 STORY </t>
  </si>
  <si>
    <t xml:space="preserve">2.5 STORY </t>
  </si>
  <si>
    <t xml:space="preserve">3.0 STORY </t>
  </si>
  <si>
    <t xml:space="preserve">2ND LAYER SHINGLE REMOVAL </t>
  </si>
  <si>
    <t>Supplier</t>
  </si>
  <si>
    <t>BFS</t>
  </si>
  <si>
    <t xml:space="preserve">2ND FELT REMOVAL </t>
  </si>
  <si>
    <t>ABC</t>
  </si>
  <si>
    <t xml:space="preserve">3RD FELT REMOVAL </t>
  </si>
  <si>
    <t>BEACON</t>
  </si>
  <si>
    <t xml:space="preserve">CHIMNEY CRICKET </t>
  </si>
  <si>
    <t>RSG</t>
  </si>
  <si>
    <t xml:space="preserve">R&amp;R SKYLIGHT </t>
  </si>
  <si>
    <t xml:space="preserve">FLASH CHIMNEY </t>
  </si>
  <si>
    <t xml:space="preserve">COUNTER FLASH </t>
  </si>
  <si>
    <t xml:space="preserve">FLASH SKYLIGHT </t>
  </si>
  <si>
    <t xml:space="preserve">MISC, FLASHING </t>
  </si>
  <si>
    <t xml:space="preserve">PICK UP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</si>
</sst>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m\-dd\-yy"/>
    <numFmt numFmtId="166" formatCode="_(&quot;$&quot;* #,##0.00_);_(&quot;$&quot;* \(#,##0.00\);_(&quot;$&quot;* &quot;-&quot;??_);_(@_)"/>
    <numFmt numFmtId="167" formatCode="0.00\ &quot;SQ&quot;"/>
    <numFmt numFmtId="168" formatCode="@\ &quot;°&quot;"/>
    <numFmt numFmtId="169" formatCode="&quot;$&quot;\ 0&quot;/SQ&quot;"/>
    <numFmt numFmtId="170" formatCode="_([$$-409]* #,##0.00_);_([$$-409]* \(#,##0.00\);_([$$-409]* &quot;-&quot;??_);_(@_)"/>
    <numFmt numFmtId="171" formatCode="_(&quot;$&quot;* \(#,##0.00\);_(&quot;$&quot;* \(#,##0.00\);_(&quot;$&quot;* &quot;-&quot;??_);_(@_)"/>
  </numFmts>
  <fonts count="13">
    <font>
      <sz val="11.0"/>
      <color rgb="FF000000"/>
      <name val="Calibri"/>
    </font>
    <font>
      <b/>
      <sz val="21.0"/>
      <color rgb="FF000000"/>
      <name val="Calibri"/>
    </font>
    <font/>
    <font>
      <b/>
      <sz val="12.0"/>
      <color rgb="FF000000"/>
      <name val="Calibri"/>
    </font>
    <font>
      <b/>
      <sz val="22.0"/>
      <color rgb="FF000000"/>
      <name val="Calibri"/>
    </font>
    <font>
      <sz val="12.0"/>
      <color rgb="FF000000"/>
      <name val="Calibri"/>
    </font>
    <font>
      <sz val="11.0"/>
      <color rgb="FFFFFFFF"/>
      <name val="Inconsolata"/>
    </font>
    <font>
      <b/>
      <sz val="10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sz val="9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2" fontId="3" numFmtId="164" xfId="0" applyAlignment="1" applyBorder="1" applyFill="1" applyFont="1" applyNumberFormat="1">
      <alignment vertical="center"/>
    </xf>
    <xf borderId="8" fillId="0" fontId="2" numFmtId="0" xfId="0" applyBorder="1" applyFont="1"/>
    <xf borderId="8" fillId="0" fontId="5" numFmtId="165" xfId="0" applyAlignment="1" applyBorder="1" applyFont="1" applyNumberFormat="1">
      <alignment horizontal="center"/>
    </xf>
    <xf borderId="9" fillId="0" fontId="2" numFmtId="0" xfId="0" applyBorder="1" applyFont="1"/>
    <xf borderId="10" fillId="0" fontId="2" numFmtId="0" xfId="0" applyBorder="1" applyFont="1"/>
    <xf borderId="9" fillId="0" fontId="3" numFmtId="0" xfId="0" applyBorder="1" applyFont="1"/>
    <xf borderId="0" fillId="0" fontId="5" numFmtId="0" xfId="0" applyFont="1"/>
    <xf borderId="8" fillId="0" fontId="3" numFmtId="0" xfId="0" applyBorder="1" applyFont="1"/>
    <xf borderId="8" fillId="2" fontId="3" numFmtId="0" xfId="0" applyAlignment="1" applyBorder="1" applyFont="1">
      <alignment horizontal="left" readingOrder="0" vertical="center"/>
    </xf>
    <xf borderId="0" fillId="2" fontId="6" numFmtId="0" xfId="0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5" numFmtId="0" xfId="0" applyAlignment="1" applyFont="1">
      <alignment horizontal="center"/>
    </xf>
    <xf borderId="0" fillId="0" fontId="3" numFmtId="166" xfId="0" applyFont="1" applyNumberFormat="1"/>
    <xf borderId="10" fillId="0" fontId="5" numFmtId="166" xfId="0" applyBorder="1" applyFont="1" applyNumberFormat="1"/>
    <xf borderId="8" fillId="0" fontId="3" numFmtId="0" xfId="0" applyAlignment="1" applyBorder="1" applyFont="1">
      <alignment horizontal="right"/>
    </xf>
    <xf borderId="14" fillId="0" fontId="3" numFmtId="0" xfId="0" applyAlignment="1" applyBorder="1" applyFont="1">
      <alignment horizontal="center" readingOrder="0"/>
    </xf>
    <xf borderId="10" fillId="0" fontId="5" numFmtId="166" xfId="0" applyAlignment="1" applyBorder="1" applyFont="1" applyNumberFormat="1">
      <alignment horizontal="right"/>
    </xf>
    <xf borderId="8" fillId="2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readingOrder="0" vertical="center"/>
    </xf>
    <xf borderId="14" fillId="3" fontId="3" numFmtId="0" xfId="0" applyAlignment="1" applyBorder="1" applyFill="1" applyFont="1">
      <alignment horizontal="center" readingOrder="0"/>
    </xf>
    <xf borderId="15" fillId="2" fontId="3" numFmtId="0" xfId="0" applyBorder="1" applyFont="1"/>
    <xf borderId="11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6" fillId="0" fontId="5" numFmtId="166" xfId="0" applyBorder="1" applyFont="1" applyNumberFormat="1"/>
    <xf borderId="0" fillId="0" fontId="3" numFmtId="0" xfId="0" applyAlignment="1" applyFont="1">
      <alignment horizontal="right" readingOrder="0"/>
    </xf>
    <xf borderId="9" fillId="0" fontId="3" numFmtId="0" xfId="0" applyAlignment="1" applyBorder="1" applyFont="1">
      <alignment horizontal="right" readingOrder="0"/>
    </xf>
    <xf borderId="16" fillId="2" fontId="3" numFmtId="167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10" fillId="0" fontId="3" numFmtId="0" xfId="0" applyAlignment="1" applyBorder="1" applyFont="1">
      <alignment readingOrder="0"/>
    </xf>
    <xf borderId="16" fillId="2" fontId="3" numFmtId="10" xfId="0" applyAlignment="1" applyBorder="1" applyFont="1" applyNumberFormat="1">
      <alignment horizontal="center" readingOrder="0" vertical="center"/>
    </xf>
    <xf borderId="16" fillId="0" fontId="3" numFmtId="167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9" fillId="0" fontId="3" numFmtId="0" xfId="0" applyAlignment="1" applyBorder="1" applyFont="1">
      <alignment horizontal="center"/>
    </xf>
    <xf borderId="0" fillId="0" fontId="3" numFmtId="166" xfId="0" applyAlignment="1" applyFont="1" applyNumberFormat="1">
      <alignment horizontal="center" readingOrder="0"/>
    </xf>
    <xf borderId="8" fillId="0" fontId="3" numFmtId="0" xfId="0" applyAlignment="1" applyBorder="1" applyFont="1">
      <alignment horizontal="center" readingOrder="0"/>
    </xf>
    <xf borderId="10" fillId="0" fontId="3" numFmtId="166" xfId="0" applyAlignment="1" applyBorder="1" applyFont="1" applyNumberFormat="1">
      <alignment horizontal="center"/>
    </xf>
    <xf borderId="8" fillId="0" fontId="5" numFmtId="168" xfId="0" applyAlignment="1" applyBorder="1" applyFont="1" applyNumberFormat="1">
      <alignment horizontal="center" readingOrder="0" vertical="center"/>
    </xf>
    <xf borderId="17" fillId="0" fontId="5" numFmtId="169" xfId="0" applyAlignment="1" applyBorder="1" applyFont="1" applyNumberFormat="1">
      <alignment horizontal="center" readingOrder="0"/>
    </xf>
    <xf borderId="8" fillId="0" fontId="5" numFmtId="167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horizontal="center"/>
    </xf>
    <xf borderId="14" fillId="0" fontId="3" numFmtId="166" xfId="0" applyBorder="1" applyFont="1" applyNumberFormat="1"/>
    <xf borderId="17" fillId="0" fontId="5" numFmtId="169" xfId="0" applyAlignment="1" applyBorder="1" applyFont="1" applyNumberFormat="1">
      <alignment horizontal="center"/>
    </xf>
    <xf borderId="17" fillId="0" fontId="5" numFmtId="167" xfId="0" applyAlignment="1" applyBorder="1" applyFont="1" applyNumberFormat="1">
      <alignment horizontal="center" readingOrder="0"/>
    </xf>
    <xf borderId="17" fillId="0" fontId="3" numFmtId="0" xfId="0" applyAlignment="1" applyBorder="1" applyFont="1">
      <alignment horizontal="center"/>
    </xf>
    <xf borderId="8" fillId="0" fontId="5" numFmtId="168" xfId="0" applyAlignment="1" applyBorder="1" applyFont="1" applyNumberFormat="1">
      <alignment horizontal="center" vertical="center"/>
    </xf>
    <xf borderId="8" fillId="0" fontId="5" numFmtId="167" xfId="0" applyAlignment="1" applyBorder="1" applyFont="1" applyNumberFormat="1">
      <alignment horizontal="center"/>
    </xf>
    <xf borderId="17" fillId="0" fontId="5" numFmtId="167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8" fillId="0" fontId="5" numFmtId="169" xfId="0" applyAlignment="1" applyBorder="1" applyFont="1" applyNumberFormat="1">
      <alignment horizontal="center" readingOrder="0"/>
    </xf>
    <xf borderId="8" fillId="0" fontId="5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horizontal="center"/>
    </xf>
    <xf borderId="10" fillId="0" fontId="3" numFmtId="166" xfId="0" applyBorder="1" applyFont="1" applyNumberFormat="1"/>
    <xf borderId="18" fillId="0" fontId="3" numFmtId="0" xfId="0" applyAlignment="1" applyBorder="1" applyFont="1">
      <alignment horizontal="right" readingOrder="0"/>
    </xf>
    <xf borderId="17" fillId="0" fontId="2" numFmtId="0" xfId="0" applyBorder="1" applyFont="1"/>
    <xf borderId="19" fillId="0" fontId="2" numFmtId="0" xfId="0" applyBorder="1" applyFont="1"/>
    <xf borderId="16" fillId="2" fontId="3" numFmtId="167" xfId="0" applyAlignment="1" applyBorder="1" applyFont="1" applyNumberFormat="1">
      <alignment horizontal="center"/>
    </xf>
    <xf borderId="0" fillId="2" fontId="3" numFmtId="167" xfId="0" applyAlignment="1" applyFont="1" applyNumberFormat="1">
      <alignment horizontal="center"/>
    </xf>
    <xf borderId="12" fillId="0" fontId="3" numFmtId="0" xfId="0" applyBorder="1" applyFont="1"/>
    <xf borderId="12" fillId="0" fontId="5" numFmtId="170" xfId="0" applyAlignment="1" applyBorder="1" applyFont="1" applyNumberFormat="1">
      <alignment horizontal="center"/>
    </xf>
    <xf borderId="20" fillId="2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3" fillId="0" fontId="3" numFmtId="166" xfId="0" applyBorder="1" applyFont="1" applyNumberFormat="1"/>
    <xf borderId="5" fillId="0" fontId="3" numFmtId="166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/>
    </xf>
    <xf borderId="6" fillId="0" fontId="3" numFmtId="166" xfId="0" applyBorder="1" applyFont="1" applyNumberFormat="1"/>
    <xf borderId="8" fillId="0" fontId="5" numFmtId="0" xfId="0" applyAlignment="1" applyBorder="1" applyFont="1">
      <alignment horizontal="left" vertical="center"/>
    </xf>
    <xf borderId="8" fillId="0" fontId="5" numFmtId="166" xfId="0" applyAlignment="1" applyBorder="1" applyFont="1" applyNumberFormat="1">
      <alignment horizontal="center"/>
    </xf>
    <xf borderId="8" fillId="0" fontId="5" numFmtId="0" xfId="0" applyAlignment="1" applyBorder="1" applyFont="1">
      <alignment horizontal="center"/>
    </xf>
    <xf borderId="18" fillId="0" fontId="3" numFmtId="0" xfId="0" applyBorder="1" applyFont="1"/>
    <xf borderId="17" fillId="0" fontId="5" numFmtId="0" xfId="0" applyAlignment="1" applyBorder="1" applyFont="1">
      <alignment horizontal="left" readingOrder="0" vertical="center"/>
    </xf>
    <xf borderId="17" fillId="0" fontId="5" numFmtId="166" xfId="0" applyAlignment="1" applyBorder="1" applyFont="1" applyNumberFormat="1">
      <alignment horizontal="center" readingOrder="0"/>
    </xf>
    <xf borderId="17" fillId="0" fontId="5" numFmtId="0" xfId="0" applyAlignment="1" applyBorder="1" applyFont="1">
      <alignment horizontal="center"/>
    </xf>
    <xf borderId="17" fillId="0" fontId="5" numFmtId="166" xfId="0" applyAlignment="1" applyBorder="1" applyFont="1" applyNumberFormat="1">
      <alignment horizontal="center"/>
    </xf>
    <xf borderId="21" fillId="0" fontId="5" numFmtId="0" xfId="0" applyAlignment="1" applyBorder="1" applyFont="1">
      <alignment horizontal="left" vertical="center"/>
    </xf>
    <xf borderId="14" fillId="0" fontId="3" numFmtId="171" xfId="0" applyAlignment="1" applyBorder="1" applyFont="1" applyNumberFormat="1">
      <alignment readingOrder="0"/>
    </xf>
    <xf borderId="12" fillId="0" fontId="5" numFmtId="0" xfId="0" applyBorder="1" applyFont="1"/>
    <xf borderId="12" fillId="0" fontId="5" numFmtId="0" xfId="0" applyAlignment="1" applyBorder="1" applyFont="1">
      <alignment horizontal="center"/>
    </xf>
    <xf borderId="22" fillId="0" fontId="3" numFmtId="0" xfId="0" applyBorder="1" applyFont="1"/>
    <xf borderId="23" fillId="0" fontId="7" numFmtId="0" xfId="0" applyAlignment="1" applyBorder="1" applyFont="1">
      <alignment readingOrder="0"/>
    </xf>
    <xf borderId="23" fillId="0" fontId="2" numFmtId="0" xfId="0" applyBorder="1" applyFont="1"/>
    <xf borderId="24" fillId="0" fontId="3" numFmtId="166" xfId="0" applyAlignment="1" applyBorder="1" applyFont="1" applyNumberFormat="1">
      <alignment horizontal="center" vertical="center"/>
    </xf>
    <xf borderId="25" fillId="0" fontId="2" numFmtId="0" xfId="0" applyBorder="1" applyFont="1"/>
    <xf borderId="11" fillId="0" fontId="3" numFmtId="0" xfId="0" applyAlignment="1" applyBorder="1" applyFont="1">
      <alignment readingOrder="0"/>
    </xf>
    <xf borderId="26" fillId="0" fontId="2" numFmtId="0" xfId="0" applyBorder="1" applyFont="1"/>
    <xf borderId="0" fillId="0" fontId="8" numFmtId="0" xfId="0" applyAlignment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11" fillId="0" fontId="11" numFmtId="0" xfId="0" applyAlignment="1" applyBorder="1" applyFont="1">
      <alignment horizontal="center"/>
    </xf>
    <xf borderId="0" fillId="0" fontId="2" numFmtId="49" xfId="0" applyFont="1" applyNumberFormat="1"/>
    <xf borderId="0" fillId="0" fontId="2" numFmtId="0" xfId="0" applyAlignment="1" applyFont="1">
      <alignment readingOrder="0"/>
    </xf>
    <xf borderId="0" fillId="0" fontId="0" numFmtId="168" xfId="0" applyFont="1" applyNumberFormat="1"/>
    <xf borderId="0" fillId="0" fontId="0" numFmtId="166" xfId="0" applyAlignment="1" applyFont="1" applyNumberFormat="1">
      <alignment readingOrder="0"/>
    </xf>
    <xf borderId="0" fillId="0" fontId="0" numFmtId="166" xfId="0" applyFont="1" applyNumberFormat="1"/>
    <xf borderId="0" fillId="0" fontId="12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-9525</xdr:colOff>
      <xdr:row>10</xdr:row>
      <xdr:rowOff>133350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1</xdr:row>
      <xdr:rowOff>0</xdr:rowOff>
    </xdr:from>
    <xdr:ext cx="285750" cy="123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5.0"/>
    <col customWidth="1" min="3" max="3" width="10.57"/>
    <col customWidth="1" min="4" max="4" width="12.29"/>
    <col customWidth="1" min="5" max="5" width="13.71"/>
    <col customWidth="1" min="6" max="6" width="13.0"/>
    <col customWidth="1" min="7" max="7" width="17.29"/>
    <col customWidth="1" min="8" max="8" width="14.29"/>
    <col customWidth="1" min="9" max="9" width="2.57"/>
  </cols>
  <sheetData>
    <row r="1" ht="31.5" customHeight="1">
      <c r="A1" s="1"/>
      <c r="B1" s="2" t="s">
        <v>0</v>
      </c>
      <c r="C1" s="3"/>
      <c r="D1" s="3"/>
      <c r="E1" s="3"/>
      <c r="F1" s="3"/>
      <c r="G1" s="3"/>
      <c r="H1" s="4"/>
      <c r="I1" s="5"/>
    </row>
    <row r="2" ht="9.75" customHeight="1">
      <c r="A2" s="6"/>
      <c r="B2" s="7"/>
      <c r="C2" s="8"/>
      <c r="D2" s="8"/>
      <c r="E2" s="8"/>
      <c r="F2" s="7"/>
      <c r="G2" s="9"/>
      <c r="H2" s="10"/>
      <c r="I2" s="5"/>
    </row>
    <row r="3" ht="15.0" customHeight="1">
      <c r="A3" s="5"/>
      <c r="B3" s="11" t="s">
        <v>1</v>
      </c>
      <c r="C3" s="12">
        <f>IFERROR(__xludf.DUMMYFUNCTION("IFERROR(VLOOKUP($H$11,IMPORTRANGE(""https://docs.google.com/spreadsheets/d/1IKntoB-BFY0-vjMH94c9Md4wtLQz8cMBxYJbfK9AAjE/edit?resourcekey=null#gid=0"",""PROJECT TRACKING!B3:N""),11,false))"),45139.0)</f>
        <v>45139</v>
      </c>
      <c r="D3" s="13"/>
      <c r="E3" s="14"/>
      <c r="F3" s="15"/>
      <c r="H3" s="16"/>
      <c r="I3" s="5"/>
    </row>
    <row r="4" ht="9.75" customHeight="1">
      <c r="A4" s="5"/>
      <c r="B4" s="17"/>
      <c r="C4" s="5"/>
      <c r="D4" s="18"/>
      <c r="E4" s="18"/>
      <c r="F4" s="15"/>
      <c r="H4" s="16"/>
      <c r="I4" s="5"/>
    </row>
    <row r="5" ht="16.5" customHeight="1">
      <c r="A5" s="5"/>
      <c r="B5" s="11" t="s">
        <v>2</v>
      </c>
      <c r="C5" s="19"/>
      <c r="D5" s="20" t="str">
        <f>IFERROR(__xludf.DUMMYFUNCTION("IFERROR(VLOOKUP($H$11,IMPORTRANGE(""https://docs.google.com/spreadsheets/d/1IKntoB-BFY0-vjMH94c9Md4wtLQz8cMBxYJbfK9AAjE/edit?resourcekey=null#gid=0"",""PROJECT TRACKING!B3:N""),13,false))
"),"JOSE ACOSTA")</f>
        <v>JOSE ACOSTA</v>
      </c>
      <c r="E5" s="13"/>
      <c r="F5" s="15"/>
      <c r="H5" s="16"/>
      <c r="I5" s="5"/>
    </row>
    <row r="6" ht="9.75" customHeight="1">
      <c r="A6" s="5"/>
      <c r="B6" s="17"/>
      <c r="C6" s="5"/>
      <c r="D6" s="21" t="str">
        <f>IFERROR(VLOOKUP($H$11,DATABASE!$A:$AW,2,0))</f>
        <v>DM</v>
      </c>
      <c r="E6" s="18"/>
      <c r="F6" s="15"/>
      <c r="H6" s="16"/>
      <c r="I6" s="5"/>
    </row>
    <row r="7">
      <c r="A7" s="5"/>
      <c r="B7" s="11" t="s">
        <v>3</v>
      </c>
      <c r="C7" s="19"/>
      <c r="D7" s="20" t="str">
        <f>IFERROR(__xludf.DUMMYFUNCTION("IFERROR(VLOOKUP($D$6,IMPORTRANGE(""https://docs.google.com/spreadsheets/d/1IKntoB-BFY0-vjMH94c9Md4wtLQz8cMBxYJbfK9AAjE/edit?resourcekey=null#gid=0"",""PMs!A2:G50""),7,false))"),"DUSTIN MOORE ")</f>
        <v>DUSTIN MOORE </v>
      </c>
      <c r="E7" s="13"/>
      <c r="F7" s="22"/>
      <c r="G7" s="23"/>
      <c r="H7" s="24"/>
      <c r="I7" s="5"/>
    </row>
    <row r="8" ht="9.75" customHeight="1">
      <c r="A8" s="5"/>
      <c r="B8" s="17"/>
      <c r="C8" s="5"/>
      <c r="D8" s="18"/>
      <c r="E8" s="18"/>
      <c r="F8" s="25"/>
      <c r="G8" s="26"/>
      <c r="H8" s="27"/>
      <c r="I8" s="5"/>
    </row>
    <row r="9" ht="15.75" customHeight="1">
      <c r="A9" s="5"/>
      <c r="B9" s="11" t="s">
        <v>4</v>
      </c>
      <c r="C9" s="19"/>
      <c r="D9" s="20" t="str">
        <f>IFERROR(__xludf.DUMMYFUNCTION("IFERROR(VLOOKUP($H$11,IMPORTRANGE(""https://docs.google.com/spreadsheets/d/1IKntoB-BFY0-vjMH94c9Md4wtLQz8cMBxYJbfK9AAjE/edit?resourcekey=null#gid=0"",""PROJECT TRACKING!B3:N""),2,false))
")," HANSEN")</f>
        <v> HANSEN</v>
      </c>
      <c r="E9" s="13"/>
      <c r="F9" s="13"/>
      <c r="G9" s="28" t="s">
        <v>5</v>
      </c>
      <c r="H9" s="29" t="str">
        <f>IFERROR(__xludf.DUMMYFUNCTION("IFERROR(VLOOKUP($H$11,IMPORTRANGE(""https://docs.google.com/spreadsheets/d/1IKntoB-BFY0-vjMH94c9Md4wtLQz8cMBxYJbfK9AAjE/edit?resourcekey=null#gid=0"",""PROJECT TRACKING!B3:N""),12,false))
"),"ABC")</f>
        <v>ABC</v>
      </c>
      <c r="I9" s="5"/>
    </row>
    <row r="10" ht="9.75" customHeight="1">
      <c r="A10" s="5"/>
      <c r="B10" s="17"/>
      <c r="C10" s="5"/>
      <c r="D10" s="18"/>
      <c r="E10" s="18"/>
      <c r="F10" s="25"/>
      <c r="G10" s="26"/>
      <c r="H10" s="30"/>
      <c r="I10" s="5"/>
    </row>
    <row r="11" ht="16.5" customHeight="1">
      <c r="A11" s="5"/>
      <c r="B11" s="11" t="s">
        <v>6</v>
      </c>
      <c r="C11" s="31" t="str">
        <f>IFERROR(__xludf.DUMMYFUNCTION("IFERROR(VLOOKUP($H$11,IMPORTRANGE(""https://docs.google.com/spreadsheets/d/1IKntoB-BFY0-vjMH94c9Md4wtLQz8cMBxYJbfK9AAjE/edit?resourcekey=null#gid=0"",""PROJECT TRACKING!B3:N""),4,false))
"),"1802 PALO PINTO DR")</f>
        <v>1802 PALO PINTO DR</v>
      </c>
      <c r="D11" s="13"/>
      <c r="E11" s="13"/>
      <c r="F11" s="13"/>
      <c r="G11" s="32" t="str">
        <f>IFERROR(__xludf.DUMMYFUNCTION("IMPORTRANGE(""https://docs.google.com/spreadsheets/d/1IKntoB-BFY0-vjMH94c9Md4wtLQz8cMBxYJbfK9AAjE/edit?resourcekey=null#gid=0"",""PROJECT TRACKING!B1"")"),"PO #")</f>
        <v>PO #</v>
      </c>
      <c r="H11" s="33">
        <v>2559.0</v>
      </c>
      <c r="I11" s="34"/>
    </row>
    <row r="12" ht="9.75" customHeight="1">
      <c r="A12" s="5"/>
      <c r="B12" s="35"/>
      <c r="C12" s="23"/>
      <c r="D12" s="23"/>
      <c r="E12" s="23"/>
      <c r="F12" s="23"/>
      <c r="G12" s="23"/>
      <c r="H12" s="24"/>
      <c r="I12" s="5"/>
    </row>
    <row r="13" ht="9.75" customHeight="1">
      <c r="A13" s="5"/>
      <c r="B13" s="36"/>
      <c r="C13" s="37"/>
      <c r="D13" s="38"/>
      <c r="E13" s="38"/>
      <c r="F13" s="39"/>
      <c r="G13" s="37"/>
      <c r="H13" s="40"/>
      <c r="I13" s="5"/>
    </row>
    <row r="14">
      <c r="A14" s="41"/>
      <c r="B14" s="42" t="s">
        <v>7</v>
      </c>
      <c r="E14" s="43">
        <v>43.34</v>
      </c>
      <c r="G14" s="44" t="s">
        <v>8</v>
      </c>
      <c r="H14" s="45"/>
      <c r="I14" s="5"/>
    </row>
    <row r="15">
      <c r="A15" s="41"/>
      <c r="B15" s="42" t="s">
        <v>9</v>
      </c>
      <c r="E15" s="46">
        <v>0.25</v>
      </c>
      <c r="G15" s="47">
        <f>IF(E14="","",E14+(E14*E15))</f>
        <v>54.175</v>
      </c>
      <c r="H15" s="48"/>
      <c r="I15" s="5"/>
    </row>
    <row r="16" ht="9.75" customHeight="1">
      <c r="A16" s="49"/>
      <c r="B16" s="50"/>
      <c r="H16" s="16"/>
      <c r="I16" s="5"/>
    </row>
    <row r="17" ht="13.5" customHeight="1">
      <c r="A17" s="5"/>
      <c r="B17" s="17"/>
      <c r="C17" s="5"/>
      <c r="D17" s="51" t="s">
        <v>10</v>
      </c>
      <c r="E17" s="52" t="s">
        <v>11</v>
      </c>
      <c r="F17" s="52" t="s">
        <v>12</v>
      </c>
      <c r="G17" s="49"/>
      <c r="H17" s="53" t="s">
        <v>13</v>
      </c>
      <c r="I17" s="5"/>
    </row>
    <row r="18">
      <c r="A18" s="5"/>
      <c r="B18" s="11" t="s">
        <v>14</v>
      </c>
      <c r="C18" s="54" t="s">
        <v>15</v>
      </c>
      <c r="D18" s="55">
        <v>90.0</v>
      </c>
      <c r="E18" s="56">
        <v>43.66</v>
      </c>
      <c r="F18" s="56">
        <f t="shared" ref="F18:F27" si="1">IF(E18="","",E18+(E18*$E$15))</f>
        <v>54.575</v>
      </c>
      <c r="G18" s="57"/>
      <c r="H18" s="58">
        <f t="shared" ref="H18:H27" si="2">D18*F18</f>
        <v>4911.75</v>
      </c>
      <c r="I18" s="5"/>
    </row>
    <row r="19">
      <c r="A19" s="5"/>
      <c r="B19" s="11" t="s">
        <v>14</v>
      </c>
      <c r="C19" s="54" t="s">
        <v>15</v>
      </c>
      <c r="D19" s="59">
        <f>IFNA(VLOOKUP(C19,'Slope Pricing'!$A$1:B31,2,FALSE),"")</f>
        <v>80</v>
      </c>
      <c r="E19" s="60"/>
      <c r="F19" s="56" t="str">
        <f t="shared" si="1"/>
        <v/>
      </c>
      <c r="G19" s="61"/>
      <c r="H19" s="58">
        <f t="shared" si="2"/>
        <v>0</v>
      </c>
      <c r="I19" s="5"/>
    </row>
    <row r="20">
      <c r="A20" s="5"/>
      <c r="B20" s="11" t="s">
        <v>14</v>
      </c>
      <c r="C20" s="62"/>
      <c r="D20" s="59" t="str">
        <f>IFNA(VLOOKUP(C20,'Slope Pricing'!$A$1:B32,2,FALSE),"")</f>
        <v/>
      </c>
      <c r="E20" s="63"/>
      <c r="F20" s="56" t="str">
        <f t="shared" si="1"/>
        <v/>
      </c>
      <c r="G20" s="57"/>
      <c r="H20" s="58">
        <f t="shared" si="2"/>
        <v>0</v>
      </c>
      <c r="I20" s="5"/>
    </row>
    <row r="21">
      <c r="A21" s="5"/>
      <c r="B21" s="11" t="s">
        <v>14</v>
      </c>
      <c r="C21" s="62"/>
      <c r="D21" s="59" t="str">
        <f>IFNA(VLOOKUP(C21,'Slope Pricing'!$A$1:B33,2,FALSE),"")</f>
        <v/>
      </c>
      <c r="E21" s="64"/>
      <c r="F21" s="56" t="str">
        <f t="shared" si="1"/>
        <v/>
      </c>
      <c r="G21" s="61"/>
      <c r="H21" s="58">
        <f t="shared" si="2"/>
        <v>0</v>
      </c>
      <c r="I21" s="5"/>
    </row>
    <row r="22">
      <c r="A22" s="5"/>
      <c r="B22" s="11" t="s">
        <v>14</v>
      </c>
      <c r="C22" s="62"/>
      <c r="D22" s="59" t="str">
        <f>IFNA(VLOOKUP(C22,'Slope Pricing'!$A$1:B34,2,FALSE),"")</f>
        <v/>
      </c>
      <c r="E22" s="63"/>
      <c r="F22" s="56" t="str">
        <f t="shared" si="1"/>
        <v/>
      </c>
      <c r="G22" s="57"/>
      <c r="H22" s="58">
        <f t="shared" si="2"/>
        <v>0</v>
      </c>
      <c r="I22" s="5"/>
    </row>
    <row r="23">
      <c r="A23" s="5"/>
      <c r="B23" s="11" t="s">
        <v>14</v>
      </c>
      <c r="C23" s="62"/>
      <c r="D23" s="59" t="str">
        <f>IFNA(VLOOKUP(C23,'Slope Pricing'!$A$1:B35,2,FALSE),"")</f>
        <v/>
      </c>
      <c r="E23" s="64"/>
      <c r="F23" s="56" t="str">
        <f t="shared" si="1"/>
        <v/>
      </c>
      <c r="G23" s="61"/>
      <c r="H23" s="58">
        <f t="shared" si="2"/>
        <v>0</v>
      </c>
      <c r="I23" s="5"/>
    </row>
    <row r="24" ht="15.0" customHeight="1">
      <c r="A24" s="5"/>
      <c r="B24" s="11" t="s">
        <v>14</v>
      </c>
      <c r="C24" s="62"/>
      <c r="D24" s="59" t="str">
        <f>IFNA(VLOOKUP(C24,'Slope Pricing'!$A$1:B36,2,FALSE),"")</f>
        <v/>
      </c>
      <c r="E24" s="63"/>
      <c r="F24" s="56" t="str">
        <f t="shared" si="1"/>
        <v/>
      </c>
      <c r="G24" s="57"/>
      <c r="H24" s="58">
        <f t="shared" si="2"/>
        <v>0</v>
      </c>
      <c r="I24" s="5"/>
    </row>
    <row r="25">
      <c r="A25" s="5"/>
      <c r="B25" s="11" t="s">
        <v>14</v>
      </c>
      <c r="C25" s="62"/>
      <c r="D25" s="59" t="str">
        <f>IFNA(VLOOKUP(C25,'Slope Pricing'!$A$1:B37,2,FALSE),"")</f>
        <v/>
      </c>
      <c r="E25" s="64"/>
      <c r="F25" s="56" t="str">
        <f t="shared" si="1"/>
        <v/>
      </c>
      <c r="G25" s="61"/>
      <c r="H25" s="58">
        <f t="shared" si="2"/>
        <v>0</v>
      </c>
      <c r="I25" s="5"/>
    </row>
    <row r="26">
      <c r="A26" s="5"/>
      <c r="B26" s="11" t="s">
        <v>14</v>
      </c>
      <c r="C26" s="62"/>
      <c r="D26" s="59" t="str">
        <f>IFNA(VLOOKUP(C26,'Slope Pricing'!$A$1:B38,2,FALSE),"")</f>
        <v/>
      </c>
      <c r="E26" s="63"/>
      <c r="F26" s="56" t="str">
        <f t="shared" si="1"/>
        <v/>
      </c>
      <c r="G26" s="57"/>
      <c r="H26" s="58">
        <f t="shared" si="2"/>
        <v>0</v>
      </c>
      <c r="I26" s="5"/>
    </row>
    <row r="27">
      <c r="A27" s="5"/>
      <c r="B27" s="11" t="s">
        <v>14</v>
      </c>
      <c r="C27" s="62"/>
      <c r="D27" s="59" t="str">
        <f>IFNA(VLOOKUP(C27,'Slope Pricing'!$A$1:B39,2,FALSE),"")</f>
        <v/>
      </c>
      <c r="E27" s="64"/>
      <c r="F27" s="56" t="str">
        <f t="shared" si="1"/>
        <v/>
      </c>
      <c r="G27" s="61"/>
      <c r="H27" s="58">
        <f t="shared" si="2"/>
        <v>0</v>
      </c>
      <c r="I27" s="5"/>
    </row>
    <row r="28">
      <c r="A28" s="65"/>
      <c r="B28" s="66" t="s">
        <v>16</v>
      </c>
      <c r="C28" s="62"/>
      <c r="D28" s="59" t="str">
        <f>IFNA(VLOOKUP(C28,'Slope Pricing'!$A$1:B40,2,FALSE),"")</f>
        <v/>
      </c>
      <c r="E28" s="63"/>
      <c r="F28" s="56" t="str">
        <f t="shared" ref="F28:F29" si="3">E28</f>
        <v/>
      </c>
      <c r="G28" s="57"/>
      <c r="H28" s="58">
        <f t="shared" ref="H28:H29" si="4">D28*E28</f>
        <v>0</v>
      </c>
      <c r="I28" s="5"/>
    </row>
    <row r="29" ht="15.0" customHeight="1">
      <c r="A29" s="65"/>
      <c r="B29" s="66" t="s">
        <v>17</v>
      </c>
      <c r="C29" s="52" t="s">
        <v>18</v>
      </c>
      <c r="D29" s="67">
        <v>70.0</v>
      </c>
      <c r="E29" s="56">
        <v>4.18</v>
      </c>
      <c r="F29" s="56">
        <f t="shared" si="3"/>
        <v>4.18</v>
      </c>
      <c r="G29" s="57"/>
      <c r="H29" s="58">
        <f t="shared" si="4"/>
        <v>292.6</v>
      </c>
      <c r="I29" s="5"/>
    </row>
    <row r="30" ht="15.0" customHeight="1">
      <c r="A30" s="65"/>
      <c r="B30" s="66" t="s">
        <v>19</v>
      </c>
      <c r="C30" s="54" t="s">
        <v>15</v>
      </c>
      <c r="D30" s="67">
        <f>IFNA(VLOOKUP(C30,'Slope Pricing'!$A$1:B30,2,FALSE),"")</f>
        <v>80</v>
      </c>
      <c r="E30" s="68">
        <v>1.0</v>
      </c>
      <c r="F30" s="56">
        <f>IF(E30="","",E30+(E30*$E$15))</f>
        <v>1.25</v>
      </c>
      <c r="G30" s="57"/>
      <c r="H30" s="58">
        <f>(-D30*E30)</f>
        <v>-80</v>
      </c>
      <c r="I30" s="5"/>
    </row>
    <row r="31" ht="9.75" customHeight="1">
      <c r="A31" s="5"/>
      <c r="B31" s="17"/>
      <c r="C31" s="5"/>
      <c r="D31" s="5"/>
      <c r="E31" s="69"/>
      <c r="F31" s="49"/>
      <c r="G31" s="49"/>
      <c r="H31" s="70"/>
      <c r="I31" s="5"/>
    </row>
    <row r="32" ht="15.0" customHeight="1">
      <c r="A32" s="41"/>
      <c r="B32" s="71" t="s">
        <v>20</v>
      </c>
      <c r="C32" s="72"/>
      <c r="D32" s="73"/>
      <c r="E32" s="74">
        <f>SUM(E18:E28)</f>
        <v>43.66</v>
      </c>
      <c r="F32" s="75"/>
      <c r="G32" s="49"/>
      <c r="H32" s="70"/>
      <c r="I32" s="5"/>
    </row>
    <row r="33" ht="15.0" customHeight="1">
      <c r="A33" s="41"/>
      <c r="B33" s="71" t="s">
        <v>21</v>
      </c>
      <c r="C33" s="72"/>
      <c r="D33" s="72"/>
      <c r="E33" s="73"/>
      <c r="F33" s="74">
        <f>(SUM(F18:F28)-F30)</f>
        <v>53.325</v>
      </c>
      <c r="G33" s="49"/>
      <c r="H33" s="70"/>
      <c r="I33" s="5"/>
    </row>
    <row r="34" ht="9.75" customHeight="1">
      <c r="A34" s="5"/>
      <c r="B34" s="35"/>
      <c r="C34" s="76"/>
      <c r="D34" s="76"/>
      <c r="E34" s="77"/>
      <c r="F34" s="78"/>
      <c r="G34" s="79"/>
      <c r="H34" s="80"/>
      <c r="I34" s="5"/>
    </row>
    <row r="35" ht="18.75" customHeight="1">
      <c r="A35" s="5"/>
      <c r="B35" s="36"/>
      <c r="C35" s="37"/>
      <c r="D35" s="37"/>
      <c r="E35" s="81" t="s">
        <v>22</v>
      </c>
      <c r="F35" s="82" t="s">
        <v>23</v>
      </c>
      <c r="G35" s="83"/>
      <c r="H35" s="84"/>
      <c r="I35" s="5"/>
    </row>
    <row r="36" ht="15.0" customHeight="1">
      <c r="A36" s="5"/>
      <c r="B36" s="11" t="s">
        <v>24</v>
      </c>
      <c r="C36" s="85"/>
      <c r="D36" s="13"/>
      <c r="E36" s="86" t="str">
        <f>IFNA(VLOOKUP(C36,OSB!A1:B2,2,FALSE),"")</f>
        <v/>
      </c>
      <c r="F36" s="87"/>
      <c r="G36" s="57"/>
      <c r="H36" s="58">
        <f t="shared" ref="H36:H40" si="5">E36*F36</f>
        <v>0</v>
      </c>
      <c r="I36" s="5"/>
    </row>
    <row r="37" ht="13.5" customHeight="1">
      <c r="A37" s="5"/>
      <c r="B37" s="88" t="s">
        <v>25</v>
      </c>
      <c r="C37" s="89" t="s">
        <v>26</v>
      </c>
      <c r="D37" s="72"/>
      <c r="E37" s="90">
        <v>6.75</v>
      </c>
      <c r="F37" s="60">
        <f>E32</f>
        <v>43.66</v>
      </c>
      <c r="G37" s="91"/>
      <c r="H37" s="58">
        <f t="shared" si="5"/>
        <v>294.705</v>
      </c>
      <c r="I37" s="5"/>
    </row>
    <row r="38" ht="15.0" customHeight="1">
      <c r="A38" s="5"/>
      <c r="B38" s="88" t="s">
        <v>27</v>
      </c>
      <c r="C38" s="89"/>
      <c r="D38" s="72"/>
      <c r="E38" s="92">
        <f>IFNA(VLOOKUP(C38,'Additional Items'!$A$1:$B$10,2,FALSE),0)</f>
        <v>0</v>
      </c>
      <c r="F38" s="91"/>
      <c r="G38" s="61"/>
      <c r="H38" s="58">
        <f t="shared" si="5"/>
        <v>0</v>
      </c>
      <c r="I38" s="5"/>
    </row>
    <row r="39" ht="14.25" customHeight="1">
      <c r="A39" s="5"/>
      <c r="B39" s="88" t="s">
        <v>27</v>
      </c>
      <c r="C39" s="89"/>
      <c r="D39" s="72"/>
      <c r="E39" s="92">
        <f>IFNA(VLOOKUP(C39,'Additional Items'!$A$1:$B$10,2,FALSE),0)</f>
        <v>0</v>
      </c>
      <c r="F39" s="91"/>
      <c r="G39" s="61"/>
      <c r="H39" s="58">
        <f t="shared" si="5"/>
        <v>0</v>
      </c>
      <c r="I39" s="5"/>
    </row>
    <row r="40" ht="15.0" customHeight="1">
      <c r="A40" s="5"/>
      <c r="B40" s="88" t="s">
        <v>27</v>
      </c>
      <c r="C40" s="89"/>
      <c r="D40" s="72"/>
      <c r="E40" s="92">
        <f>IFNA(VLOOKUP(C40,'Additional Items'!$A$1:$B$10,2,FALSE),0)</f>
        <v>0</v>
      </c>
      <c r="F40" s="91"/>
      <c r="G40" s="61"/>
      <c r="H40" s="58">
        <f t="shared" si="5"/>
        <v>0</v>
      </c>
      <c r="I40" s="5"/>
    </row>
    <row r="41">
      <c r="A41" s="5"/>
      <c r="B41" s="88" t="s">
        <v>28</v>
      </c>
      <c r="C41" s="93"/>
      <c r="D41" s="72"/>
      <c r="E41" s="72"/>
      <c r="F41" s="72"/>
      <c r="G41" s="73"/>
      <c r="H41" s="94"/>
      <c r="I41" s="17"/>
    </row>
    <row r="42">
      <c r="A42" s="5"/>
      <c r="B42" s="17"/>
      <c r="C42" s="18"/>
      <c r="D42" s="5"/>
      <c r="E42" s="18"/>
      <c r="F42" s="25"/>
      <c r="G42" s="5"/>
      <c r="H42" s="70"/>
      <c r="I42" s="5"/>
    </row>
    <row r="43">
      <c r="A43" s="5"/>
      <c r="B43" s="17"/>
      <c r="C43" s="95"/>
      <c r="D43" s="76"/>
      <c r="E43" s="76"/>
      <c r="F43" s="96"/>
      <c r="G43" s="76"/>
      <c r="H43" s="80"/>
      <c r="I43" s="5"/>
    </row>
    <row r="44">
      <c r="A44" s="5"/>
      <c r="B44" s="97" t="s">
        <v>29</v>
      </c>
      <c r="C44" s="98" t="s">
        <v>30</v>
      </c>
      <c r="D44" s="99"/>
      <c r="E44" s="99"/>
      <c r="F44" s="99"/>
      <c r="G44" s="100" t="s">
        <v>31</v>
      </c>
      <c r="H44" s="100">
        <f>SUM(H18:H30,H36:H40,-H41)</f>
        <v>5419.055</v>
      </c>
      <c r="I44" s="5"/>
    </row>
    <row r="45" ht="15.75" customHeight="1">
      <c r="A45" s="5"/>
      <c r="B45" s="66" t="s">
        <v>32</v>
      </c>
      <c r="C45" s="13"/>
      <c r="D45" s="13"/>
      <c r="E45" s="13"/>
      <c r="F45" s="13"/>
      <c r="G45" s="101"/>
      <c r="H45" s="101"/>
      <c r="I45" s="5"/>
    </row>
    <row r="46">
      <c r="A46" s="5"/>
      <c r="B46" s="102" t="s">
        <v>33</v>
      </c>
      <c r="C46" s="23"/>
      <c r="D46" s="23"/>
      <c r="E46" s="23"/>
      <c r="F46" s="23"/>
      <c r="G46" s="103"/>
      <c r="H46" s="103"/>
      <c r="I46" s="5"/>
    </row>
    <row r="47">
      <c r="A47" s="104"/>
      <c r="B47" s="105" t="s">
        <v>34</v>
      </c>
      <c r="C47" s="9"/>
      <c r="D47" s="9"/>
      <c r="E47" s="9"/>
      <c r="F47" s="9"/>
      <c r="G47" s="9"/>
      <c r="H47" s="10"/>
      <c r="I47" s="5"/>
    </row>
    <row r="48">
      <c r="A48" s="106"/>
      <c r="B48" s="107" t="s">
        <v>35</v>
      </c>
      <c r="C48" s="23"/>
      <c r="D48" s="23"/>
      <c r="E48" s="23"/>
      <c r="F48" s="23"/>
      <c r="G48" s="23"/>
      <c r="H48" s="24"/>
      <c r="I48" s="5"/>
    </row>
    <row r="49">
      <c r="A49" s="5"/>
      <c r="B49" s="5"/>
      <c r="C49" s="5"/>
      <c r="D49" s="5"/>
      <c r="E49" s="5"/>
      <c r="F49" s="49"/>
      <c r="G49" s="5"/>
      <c r="H49" s="26"/>
      <c r="I49" s="5"/>
    </row>
  </sheetData>
  <mergeCells count="26">
    <mergeCell ref="B1:H1"/>
    <mergeCell ref="F2:H7"/>
    <mergeCell ref="C3:D3"/>
    <mergeCell ref="D5:E5"/>
    <mergeCell ref="D7:E7"/>
    <mergeCell ref="D9:F9"/>
    <mergeCell ref="C11:F11"/>
    <mergeCell ref="B12:H12"/>
    <mergeCell ref="B14:D14"/>
    <mergeCell ref="B15:D15"/>
    <mergeCell ref="B16:H16"/>
    <mergeCell ref="B32:D32"/>
    <mergeCell ref="B33:E33"/>
    <mergeCell ref="C36:D36"/>
    <mergeCell ref="C44:F44"/>
    <mergeCell ref="B45:F45"/>
    <mergeCell ref="B46:F46"/>
    <mergeCell ref="B47:H47"/>
    <mergeCell ref="B48:H48"/>
    <mergeCell ref="C37:D37"/>
    <mergeCell ref="C38:D38"/>
    <mergeCell ref="C39:D39"/>
    <mergeCell ref="C40:D40"/>
    <mergeCell ref="C41:G41"/>
    <mergeCell ref="G44:G46"/>
    <mergeCell ref="H44:H46"/>
  </mergeCells>
  <conditionalFormatting sqref="E32">
    <cfRule type="expression" dxfId="0" priority="1">
      <formula>$E$32&lt;&gt;$E$14</formula>
    </cfRule>
  </conditionalFormatting>
  <conditionalFormatting sqref="D18:D30">
    <cfRule type="notContainsBlanks" dxfId="0" priority="2">
      <formula>LEN(TRIM(D18))&gt;0</formula>
    </cfRule>
  </conditionalFormatting>
  <conditionalFormatting sqref="F18:F30">
    <cfRule type="notContainsBlanks" dxfId="0" priority="3">
      <formula>LEN(TRIM(F18))&gt;0</formula>
    </cfRule>
  </conditionalFormatting>
  <conditionalFormatting sqref="H18:H30">
    <cfRule type="expression" dxfId="0" priority="4">
      <formula>(F18:F30&lt;&gt;"")</formula>
    </cfRule>
  </conditionalFormatting>
  <dataValidations>
    <dataValidation type="list" allowBlank="1" sqref="C38:C40">
      <formula1>EXTRAS</formula1>
    </dataValidation>
    <dataValidation type="list" allowBlank="1" showErrorMessage="1" sqref="C36">
      <formula1>DECKING</formula1>
    </dataValidation>
    <dataValidation type="list" allowBlank="1" sqref="C37">
      <formula1>STORY</formula1>
    </dataValidation>
    <dataValidation type="list" allowBlank="1" showErrorMessage="1" sqref="C18:C28 C30">
      <formula1>'Slope Pricing'!$A$1:$A$21</formula1>
    </dataValidation>
  </dataValidations>
  <printOptions/>
  <pageMargins bottom="0.75" footer="0.0" header="0.0" left="0.7" right="0.7" top="0.75"/>
  <pageSetup orientation="portrait"/>
  <colBreaks count="2" manualBreakCount="2">
    <brk man="1"/>
    <brk id="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t="str">
        <f t="shared" ref="A1:A1501" si="1">C:C</f>
        <v>PO #</v>
      </c>
      <c r="B1" s="108" t="str">
        <f>IFERROR(__xludf.DUMMYFUNCTION("IMPORTRANGE(""https://docs.google.com/spreadsheets/d/1IKntoB-BFY0-vjMH94c9Md4wtLQz8cMBxYJbfK9AAjE/edit?resourcekey=null#gid=0"",""PROJECT TRACKING!A:B"")"),"PM")</f>
        <v>PM</v>
      </c>
      <c r="C1" t="str">
        <f>IFERROR(__xludf.DUMMYFUNCTION("""COMPUTED_VALUE"""),"PO #")</f>
        <v>PO #</v>
      </c>
    </row>
    <row r="2">
      <c r="A2" t="str">
        <f t="shared" si="1"/>
        <v/>
      </c>
    </row>
    <row r="3">
      <c r="A3">
        <f t="shared" si="1"/>
        <v>2301</v>
      </c>
      <c r="B3" s="108" t="str">
        <f>IFERROR(__xludf.DUMMYFUNCTION("""COMPUTED_VALUE"""),"CS")</f>
        <v>CS</v>
      </c>
      <c r="C3">
        <f>IFERROR(__xludf.DUMMYFUNCTION("""COMPUTED_VALUE"""),2301.0)</f>
        <v>2301</v>
      </c>
    </row>
    <row r="4">
      <c r="A4">
        <f t="shared" si="1"/>
        <v>2302</v>
      </c>
      <c r="B4" s="108" t="str">
        <f>IFERROR(__xludf.DUMMYFUNCTION("""COMPUTED_VALUE"""),"DM")</f>
        <v>DM</v>
      </c>
      <c r="C4">
        <f>IFERROR(__xludf.DUMMYFUNCTION("""COMPUTED_VALUE"""),2302.0)</f>
        <v>2302</v>
      </c>
    </row>
    <row r="5">
      <c r="A5">
        <f t="shared" si="1"/>
        <v>2303</v>
      </c>
      <c r="B5" s="108" t="str">
        <f>IFERROR(__xludf.DUMMYFUNCTION("""COMPUTED_VALUE"""),"DM")</f>
        <v>DM</v>
      </c>
      <c r="C5">
        <f>IFERROR(__xludf.DUMMYFUNCTION("""COMPUTED_VALUE"""),2303.0)</f>
        <v>2303</v>
      </c>
    </row>
    <row r="6">
      <c r="A6">
        <f t="shared" si="1"/>
        <v>2304</v>
      </c>
      <c r="B6" s="108" t="str">
        <f>IFERROR(__xludf.DUMMYFUNCTION("""COMPUTED_VALUE"""),"DM")</f>
        <v>DM</v>
      </c>
      <c r="C6">
        <f>IFERROR(__xludf.DUMMYFUNCTION("""COMPUTED_VALUE"""),2304.0)</f>
        <v>2304</v>
      </c>
    </row>
    <row r="7">
      <c r="A7">
        <f t="shared" si="1"/>
        <v>2305</v>
      </c>
      <c r="B7" s="108" t="str">
        <f>IFERROR(__xludf.DUMMYFUNCTION("""COMPUTED_VALUE"""),"CS")</f>
        <v>CS</v>
      </c>
      <c r="C7">
        <f>IFERROR(__xludf.DUMMYFUNCTION("""COMPUTED_VALUE"""),2305.0)</f>
        <v>2305</v>
      </c>
    </row>
    <row r="8">
      <c r="A8">
        <f t="shared" si="1"/>
        <v>2306</v>
      </c>
      <c r="B8" s="108" t="str">
        <f>IFERROR(__xludf.DUMMYFUNCTION("""COMPUTED_VALUE"""),"CS")</f>
        <v>CS</v>
      </c>
      <c r="C8">
        <f>IFERROR(__xludf.DUMMYFUNCTION("""COMPUTED_VALUE"""),2306.0)</f>
        <v>2306</v>
      </c>
    </row>
    <row r="9">
      <c r="A9">
        <f t="shared" si="1"/>
        <v>2307</v>
      </c>
      <c r="B9" s="108" t="str">
        <f>IFERROR(__xludf.DUMMYFUNCTION("""COMPUTED_VALUE"""),"CS")</f>
        <v>CS</v>
      </c>
      <c r="C9">
        <f>IFERROR(__xludf.DUMMYFUNCTION("""COMPUTED_VALUE"""),2307.0)</f>
        <v>2307</v>
      </c>
    </row>
    <row r="10">
      <c r="A10">
        <f t="shared" si="1"/>
        <v>2308</v>
      </c>
      <c r="B10" s="108" t="str">
        <f>IFERROR(__xludf.DUMMYFUNCTION("""COMPUTED_VALUE"""),"CS")</f>
        <v>CS</v>
      </c>
      <c r="C10">
        <f>IFERROR(__xludf.DUMMYFUNCTION("""COMPUTED_VALUE"""),2308.0)</f>
        <v>2308</v>
      </c>
    </row>
    <row r="11">
      <c r="A11">
        <f t="shared" si="1"/>
        <v>2309</v>
      </c>
      <c r="B11" s="108" t="str">
        <f>IFERROR(__xludf.DUMMYFUNCTION("""COMPUTED_VALUE"""),"DM")</f>
        <v>DM</v>
      </c>
      <c r="C11">
        <f>IFERROR(__xludf.DUMMYFUNCTION("""COMPUTED_VALUE"""),2309.0)</f>
        <v>2309</v>
      </c>
    </row>
    <row r="12">
      <c r="A12">
        <f t="shared" si="1"/>
        <v>2310</v>
      </c>
      <c r="B12" s="108" t="str">
        <f>IFERROR(__xludf.DUMMYFUNCTION("""COMPUTED_VALUE"""),"CS")</f>
        <v>CS</v>
      </c>
      <c r="C12">
        <f>IFERROR(__xludf.DUMMYFUNCTION("""COMPUTED_VALUE"""),2310.0)</f>
        <v>2310</v>
      </c>
    </row>
    <row r="13">
      <c r="A13">
        <f t="shared" si="1"/>
        <v>2311</v>
      </c>
      <c r="B13" s="108" t="str">
        <f>IFERROR(__xludf.DUMMYFUNCTION("""COMPUTED_VALUE"""),"DM")</f>
        <v>DM</v>
      </c>
      <c r="C13">
        <f>IFERROR(__xludf.DUMMYFUNCTION("""COMPUTED_VALUE"""),2311.0)</f>
        <v>2311</v>
      </c>
    </row>
    <row r="14">
      <c r="A14">
        <f t="shared" si="1"/>
        <v>2312</v>
      </c>
      <c r="B14" s="108" t="str">
        <f>IFERROR(__xludf.DUMMYFUNCTION("""COMPUTED_VALUE"""),"DM")</f>
        <v>DM</v>
      </c>
      <c r="C14">
        <f>IFERROR(__xludf.DUMMYFUNCTION("""COMPUTED_VALUE"""),2312.0)</f>
        <v>2312</v>
      </c>
    </row>
    <row r="15">
      <c r="A15">
        <f t="shared" si="1"/>
        <v>2313</v>
      </c>
      <c r="B15" s="108" t="str">
        <f>IFERROR(__xludf.DUMMYFUNCTION("""COMPUTED_VALUE"""),"DM")</f>
        <v>DM</v>
      </c>
      <c r="C15">
        <f>IFERROR(__xludf.DUMMYFUNCTION("""COMPUTED_VALUE"""),2313.0)</f>
        <v>2313</v>
      </c>
    </row>
    <row r="16">
      <c r="A16">
        <f t="shared" si="1"/>
        <v>2314</v>
      </c>
      <c r="B16" s="108" t="str">
        <f>IFERROR(__xludf.DUMMYFUNCTION("""COMPUTED_VALUE"""),"DM")</f>
        <v>DM</v>
      </c>
      <c r="C16">
        <f>IFERROR(__xludf.DUMMYFUNCTION("""COMPUTED_VALUE"""),2314.0)</f>
        <v>2314</v>
      </c>
    </row>
    <row r="17">
      <c r="A17">
        <f t="shared" si="1"/>
        <v>2315</v>
      </c>
      <c r="B17" s="108" t="str">
        <f>IFERROR(__xludf.DUMMYFUNCTION("""COMPUTED_VALUE"""),"DM")</f>
        <v>DM</v>
      </c>
      <c r="C17">
        <f>IFERROR(__xludf.DUMMYFUNCTION("""COMPUTED_VALUE"""),2315.0)</f>
        <v>2315</v>
      </c>
    </row>
    <row r="18">
      <c r="A18">
        <f t="shared" si="1"/>
        <v>2316</v>
      </c>
      <c r="B18" s="108" t="str">
        <f>IFERROR(__xludf.DUMMYFUNCTION("""COMPUTED_VALUE"""),"DM")</f>
        <v>DM</v>
      </c>
      <c r="C18">
        <f>IFERROR(__xludf.DUMMYFUNCTION("""COMPUTED_VALUE"""),2316.0)</f>
        <v>2316</v>
      </c>
    </row>
    <row r="19">
      <c r="A19">
        <f t="shared" si="1"/>
        <v>2317</v>
      </c>
      <c r="B19" s="108" t="str">
        <f>IFERROR(__xludf.DUMMYFUNCTION("""COMPUTED_VALUE"""),"CS")</f>
        <v>CS</v>
      </c>
      <c r="C19">
        <f>IFERROR(__xludf.DUMMYFUNCTION("""COMPUTED_VALUE"""),2317.0)</f>
        <v>2317</v>
      </c>
    </row>
    <row r="20">
      <c r="A20">
        <f t="shared" si="1"/>
        <v>2318</v>
      </c>
      <c r="B20" s="108" t="str">
        <f>IFERROR(__xludf.DUMMYFUNCTION("""COMPUTED_VALUE"""),"DM")</f>
        <v>DM</v>
      </c>
      <c r="C20">
        <f>IFERROR(__xludf.DUMMYFUNCTION("""COMPUTED_VALUE"""),2318.0)</f>
        <v>2318</v>
      </c>
    </row>
    <row r="21">
      <c r="A21">
        <f t="shared" si="1"/>
        <v>2319</v>
      </c>
      <c r="B21" s="108" t="str">
        <f>IFERROR(__xludf.DUMMYFUNCTION("""COMPUTED_VALUE"""),"DM")</f>
        <v>DM</v>
      </c>
      <c r="C21">
        <f>IFERROR(__xludf.DUMMYFUNCTION("""COMPUTED_VALUE"""),2319.0)</f>
        <v>2319</v>
      </c>
    </row>
    <row r="22">
      <c r="A22">
        <f t="shared" si="1"/>
        <v>2320</v>
      </c>
      <c r="B22" s="108" t="str">
        <f>IFERROR(__xludf.DUMMYFUNCTION("""COMPUTED_VALUE"""),"DM")</f>
        <v>DM</v>
      </c>
      <c r="C22">
        <f>IFERROR(__xludf.DUMMYFUNCTION("""COMPUTED_VALUE"""),2320.0)</f>
        <v>2320</v>
      </c>
    </row>
    <row r="23">
      <c r="A23">
        <f t="shared" si="1"/>
        <v>2321</v>
      </c>
      <c r="B23" s="108" t="str">
        <f>IFERROR(__xludf.DUMMYFUNCTION("""COMPUTED_VALUE"""),"DM")</f>
        <v>DM</v>
      </c>
      <c r="C23">
        <f>IFERROR(__xludf.DUMMYFUNCTION("""COMPUTED_VALUE"""),2321.0)</f>
        <v>2321</v>
      </c>
    </row>
    <row r="24">
      <c r="A24">
        <f t="shared" si="1"/>
        <v>2322</v>
      </c>
      <c r="B24" s="108" t="str">
        <f>IFERROR(__xludf.DUMMYFUNCTION("""COMPUTED_VALUE"""),"DM")</f>
        <v>DM</v>
      </c>
      <c r="C24">
        <f>IFERROR(__xludf.DUMMYFUNCTION("""COMPUTED_VALUE"""),2322.0)</f>
        <v>2322</v>
      </c>
    </row>
    <row r="25">
      <c r="A25">
        <f t="shared" si="1"/>
        <v>2323</v>
      </c>
      <c r="B25" s="108" t="str">
        <f>IFERROR(__xludf.DUMMYFUNCTION("""COMPUTED_VALUE"""),"CS")</f>
        <v>CS</v>
      </c>
      <c r="C25">
        <f>IFERROR(__xludf.DUMMYFUNCTION("""COMPUTED_VALUE"""),2323.0)</f>
        <v>2323</v>
      </c>
    </row>
    <row r="26">
      <c r="A26">
        <f t="shared" si="1"/>
        <v>2324</v>
      </c>
      <c r="B26" s="108" t="str">
        <f>IFERROR(__xludf.DUMMYFUNCTION("""COMPUTED_VALUE"""),"DM")</f>
        <v>DM</v>
      </c>
      <c r="C26">
        <f>IFERROR(__xludf.DUMMYFUNCTION("""COMPUTED_VALUE"""),2324.0)</f>
        <v>2324</v>
      </c>
    </row>
    <row r="27">
      <c r="A27">
        <f t="shared" si="1"/>
        <v>2325</v>
      </c>
      <c r="B27" s="108" t="str">
        <f>IFERROR(__xludf.DUMMYFUNCTION("""COMPUTED_VALUE"""),"DM")</f>
        <v>DM</v>
      </c>
      <c r="C27">
        <f>IFERROR(__xludf.DUMMYFUNCTION("""COMPUTED_VALUE"""),2325.0)</f>
        <v>2325</v>
      </c>
    </row>
    <row r="28">
      <c r="A28">
        <f t="shared" si="1"/>
        <v>2326</v>
      </c>
      <c r="B28" s="108" t="str">
        <f>IFERROR(__xludf.DUMMYFUNCTION("""COMPUTED_VALUE"""),"CS")</f>
        <v>CS</v>
      </c>
      <c r="C28">
        <f>IFERROR(__xludf.DUMMYFUNCTION("""COMPUTED_VALUE"""),2326.0)</f>
        <v>2326</v>
      </c>
    </row>
    <row r="29">
      <c r="A29">
        <f t="shared" si="1"/>
        <v>2327</v>
      </c>
      <c r="B29" s="108" t="str">
        <f>IFERROR(__xludf.DUMMYFUNCTION("""COMPUTED_VALUE"""),"DM")</f>
        <v>DM</v>
      </c>
      <c r="C29">
        <f>IFERROR(__xludf.DUMMYFUNCTION("""COMPUTED_VALUE"""),2327.0)</f>
        <v>2327</v>
      </c>
    </row>
    <row r="30">
      <c r="A30">
        <f t="shared" si="1"/>
        <v>2328</v>
      </c>
      <c r="B30" s="108" t="str">
        <f>IFERROR(__xludf.DUMMYFUNCTION("""COMPUTED_VALUE"""),"DM")</f>
        <v>DM</v>
      </c>
      <c r="C30">
        <f>IFERROR(__xludf.DUMMYFUNCTION("""COMPUTED_VALUE"""),2328.0)</f>
        <v>2328</v>
      </c>
    </row>
    <row r="31">
      <c r="A31">
        <f t="shared" si="1"/>
        <v>2329</v>
      </c>
      <c r="B31" s="108" t="str">
        <f>IFERROR(__xludf.DUMMYFUNCTION("""COMPUTED_VALUE"""),"CS")</f>
        <v>CS</v>
      </c>
      <c r="C31">
        <f>IFERROR(__xludf.DUMMYFUNCTION("""COMPUTED_VALUE"""),2329.0)</f>
        <v>2329</v>
      </c>
    </row>
    <row r="32">
      <c r="A32">
        <f t="shared" si="1"/>
        <v>2330</v>
      </c>
      <c r="B32" s="108" t="str">
        <f>IFERROR(__xludf.DUMMYFUNCTION("""COMPUTED_VALUE"""),"CS")</f>
        <v>CS</v>
      </c>
      <c r="C32">
        <f>IFERROR(__xludf.DUMMYFUNCTION("""COMPUTED_VALUE"""),2330.0)</f>
        <v>2330</v>
      </c>
    </row>
    <row r="33">
      <c r="A33">
        <f t="shared" si="1"/>
        <v>2331</v>
      </c>
      <c r="B33" s="108" t="str">
        <f>IFERROR(__xludf.DUMMYFUNCTION("""COMPUTED_VALUE"""),"LM")</f>
        <v>LM</v>
      </c>
      <c r="C33">
        <f>IFERROR(__xludf.DUMMYFUNCTION("""COMPUTED_VALUE"""),2331.0)</f>
        <v>2331</v>
      </c>
    </row>
    <row r="34">
      <c r="A34">
        <f t="shared" si="1"/>
        <v>2332</v>
      </c>
      <c r="B34" s="108" t="str">
        <f>IFERROR(__xludf.DUMMYFUNCTION("""COMPUTED_VALUE"""),"DM")</f>
        <v>DM</v>
      </c>
      <c r="C34">
        <f>IFERROR(__xludf.DUMMYFUNCTION("""COMPUTED_VALUE"""),2332.0)</f>
        <v>2332</v>
      </c>
    </row>
    <row r="35">
      <c r="A35">
        <f t="shared" si="1"/>
        <v>2333</v>
      </c>
      <c r="B35" s="108" t="str">
        <f>IFERROR(__xludf.DUMMYFUNCTION("""COMPUTED_VALUE"""),"CS")</f>
        <v>CS</v>
      </c>
      <c r="C35">
        <f>IFERROR(__xludf.DUMMYFUNCTION("""COMPUTED_VALUE"""),2333.0)</f>
        <v>2333</v>
      </c>
    </row>
    <row r="36">
      <c r="A36">
        <f t="shared" si="1"/>
        <v>2334</v>
      </c>
      <c r="B36" s="108" t="str">
        <f>IFERROR(__xludf.DUMMYFUNCTION("""COMPUTED_VALUE"""),"CS")</f>
        <v>CS</v>
      </c>
      <c r="C36">
        <f>IFERROR(__xludf.DUMMYFUNCTION("""COMPUTED_VALUE"""),2334.0)</f>
        <v>2334</v>
      </c>
    </row>
    <row r="37">
      <c r="A37">
        <f t="shared" si="1"/>
        <v>2335</v>
      </c>
      <c r="B37" s="108" t="str">
        <f>IFERROR(__xludf.DUMMYFUNCTION("""COMPUTED_VALUE"""),"DM")</f>
        <v>DM</v>
      </c>
      <c r="C37">
        <f>IFERROR(__xludf.DUMMYFUNCTION("""COMPUTED_VALUE"""),2335.0)</f>
        <v>2335</v>
      </c>
    </row>
    <row r="38">
      <c r="A38">
        <f t="shared" si="1"/>
        <v>2336</v>
      </c>
      <c r="B38" s="108" t="str">
        <f>IFERROR(__xludf.DUMMYFUNCTION("""COMPUTED_VALUE"""),"LJ")</f>
        <v>LJ</v>
      </c>
      <c r="C38">
        <f>IFERROR(__xludf.DUMMYFUNCTION("""COMPUTED_VALUE"""),2336.0)</f>
        <v>2336</v>
      </c>
    </row>
    <row r="39">
      <c r="A39">
        <f t="shared" si="1"/>
        <v>2337</v>
      </c>
      <c r="B39" s="108" t="str">
        <f>IFERROR(__xludf.DUMMYFUNCTION("""COMPUTED_VALUE"""),"LJ")</f>
        <v>LJ</v>
      </c>
      <c r="C39">
        <f>IFERROR(__xludf.DUMMYFUNCTION("""COMPUTED_VALUE"""),2337.0)</f>
        <v>2337</v>
      </c>
    </row>
    <row r="40">
      <c r="A40">
        <f t="shared" si="1"/>
        <v>2338</v>
      </c>
      <c r="B40" s="108" t="str">
        <f>IFERROR(__xludf.DUMMYFUNCTION("""COMPUTED_VALUE"""),"CS")</f>
        <v>CS</v>
      </c>
      <c r="C40">
        <f>IFERROR(__xludf.DUMMYFUNCTION("""COMPUTED_VALUE"""),2338.0)</f>
        <v>2338</v>
      </c>
    </row>
    <row r="41">
      <c r="A41">
        <f t="shared" si="1"/>
        <v>2339</v>
      </c>
      <c r="B41" s="108" t="str">
        <f>IFERROR(__xludf.DUMMYFUNCTION("""COMPUTED_VALUE"""),"LJ")</f>
        <v>LJ</v>
      </c>
      <c r="C41">
        <f>IFERROR(__xludf.DUMMYFUNCTION("""COMPUTED_VALUE"""),2339.0)</f>
        <v>2339</v>
      </c>
    </row>
    <row r="42">
      <c r="A42">
        <f t="shared" si="1"/>
        <v>2340</v>
      </c>
      <c r="B42" s="108" t="str">
        <f>IFERROR(__xludf.DUMMYFUNCTION("""COMPUTED_VALUE"""),"LJ")</f>
        <v>LJ</v>
      </c>
      <c r="C42">
        <f>IFERROR(__xludf.DUMMYFUNCTION("""COMPUTED_VALUE"""),2340.0)</f>
        <v>2340</v>
      </c>
    </row>
    <row r="43">
      <c r="A43">
        <f t="shared" si="1"/>
        <v>2341</v>
      </c>
      <c r="B43" s="108" t="str">
        <f>IFERROR(__xludf.DUMMYFUNCTION("""COMPUTED_VALUE"""),"CS")</f>
        <v>CS</v>
      </c>
      <c r="C43">
        <f>IFERROR(__xludf.DUMMYFUNCTION("""COMPUTED_VALUE"""),2341.0)</f>
        <v>2341</v>
      </c>
    </row>
    <row r="44">
      <c r="A44">
        <f t="shared" si="1"/>
        <v>2342</v>
      </c>
      <c r="B44" s="108" t="str">
        <f>IFERROR(__xludf.DUMMYFUNCTION("""COMPUTED_VALUE"""),"CS")</f>
        <v>CS</v>
      </c>
      <c r="C44">
        <f>IFERROR(__xludf.DUMMYFUNCTION("""COMPUTED_VALUE"""),2342.0)</f>
        <v>2342</v>
      </c>
    </row>
    <row r="45">
      <c r="A45">
        <f t="shared" si="1"/>
        <v>2343</v>
      </c>
      <c r="B45" s="108" t="str">
        <f>IFERROR(__xludf.DUMMYFUNCTION("""COMPUTED_VALUE"""),"LJ")</f>
        <v>LJ</v>
      </c>
      <c r="C45">
        <f>IFERROR(__xludf.DUMMYFUNCTION("""COMPUTED_VALUE"""),2343.0)</f>
        <v>2343</v>
      </c>
    </row>
    <row r="46">
      <c r="A46">
        <f t="shared" si="1"/>
        <v>2344</v>
      </c>
      <c r="B46" s="108" t="str">
        <f>IFERROR(__xludf.DUMMYFUNCTION("""COMPUTED_VALUE"""),"DM")</f>
        <v>DM</v>
      </c>
      <c r="C46">
        <f>IFERROR(__xludf.DUMMYFUNCTION("""COMPUTED_VALUE"""),2344.0)</f>
        <v>2344</v>
      </c>
    </row>
    <row r="47">
      <c r="A47">
        <f t="shared" si="1"/>
        <v>2345</v>
      </c>
      <c r="B47" s="108" t="str">
        <f>IFERROR(__xludf.DUMMYFUNCTION("""COMPUTED_VALUE"""),"DM")</f>
        <v>DM</v>
      </c>
      <c r="C47">
        <f>IFERROR(__xludf.DUMMYFUNCTION("""COMPUTED_VALUE"""),2345.0)</f>
        <v>2345</v>
      </c>
    </row>
    <row r="48">
      <c r="A48">
        <f t="shared" si="1"/>
        <v>2346</v>
      </c>
      <c r="B48" s="108" t="str">
        <f>IFERROR(__xludf.DUMMYFUNCTION("""COMPUTED_VALUE"""),"SB")</f>
        <v>SB</v>
      </c>
      <c r="C48">
        <f>IFERROR(__xludf.DUMMYFUNCTION("""COMPUTED_VALUE"""),2346.0)</f>
        <v>2346</v>
      </c>
    </row>
    <row r="49">
      <c r="A49">
        <f t="shared" si="1"/>
        <v>2347</v>
      </c>
      <c r="B49" s="108" t="str">
        <f>IFERROR(__xludf.DUMMYFUNCTION("""COMPUTED_VALUE"""),"LJ")</f>
        <v>LJ</v>
      </c>
      <c r="C49">
        <f>IFERROR(__xludf.DUMMYFUNCTION("""COMPUTED_VALUE"""),2347.0)</f>
        <v>2347</v>
      </c>
    </row>
    <row r="50">
      <c r="A50">
        <f t="shared" si="1"/>
        <v>2348</v>
      </c>
      <c r="B50" s="108" t="str">
        <f>IFERROR(__xludf.DUMMYFUNCTION("""COMPUTED_VALUE"""),"CS")</f>
        <v>CS</v>
      </c>
      <c r="C50">
        <f>IFERROR(__xludf.DUMMYFUNCTION("""COMPUTED_VALUE"""),2348.0)</f>
        <v>2348</v>
      </c>
    </row>
    <row r="51">
      <c r="A51">
        <f t="shared" si="1"/>
        <v>2349</v>
      </c>
      <c r="B51" s="108" t="str">
        <f>IFERROR(__xludf.DUMMYFUNCTION("""COMPUTED_VALUE"""),"CS")</f>
        <v>CS</v>
      </c>
      <c r="C51">
        <f>IFERROR(__xludf.DUMMYFUNCTION("""COMPUTED_VALUE"""),2349.0)</f>
        <v>2349</v>
      </c>
    </row>
    <row r="52">
      <c r="A52">
        <f t="shared" si="1"/>
        <v>2350</v>
      </c>
      <c r="B52" s="108" t="str">
        <f>IFERROR(__xludf.DUMMYFUNCTION("""COMPUTED_VALUE"""),"CS")</f>
        <v>CS</v>
      </c>
      <c r="C52">
        <f>IFERROR(__xludf.DUMMYFUNCTION("""COMPUTED_VALUE"""),2350.0)</f>
        <v>2350</v>
      </c>
    </row>
    <row r="53">
      <c r="A53">
        <f t="shared" si="1"/>
        <v>2351</v>
      </c>
      <c r="B53" s="108" t="str">
        <f>IFERROR(__xludf.DUMMYFUNCTION("""COMPUTED_VALUE"""),"SB")</f>
        <v>SB</v>
      </c>
      <c r="C53">
        <f>IFERROR(__xludf.DUMMYFUNCTION("""COMPUTED_VALUE"""),2351.0)</f>
        <v>2351</v>
      </c>
    </row>
    <row r="54">
      <c r="A54">
        <f t="shared" si="1"/>
        <v>2352</v>
      </c>
      <c r="B54" s="108" t="str">
        <f>IFERROR(__xludf.DUMMYFUNCTION("""COMPUTED_VALUE"""),"MS")</f>
        <v>MS</v>
      </c>
      <c r="C54">
        <f>IFERROR(__xludf.DUMMYFUNCTION("""COMPUTED_VALUE"""),2352.0)</f>
        <v>2352</v>
      </c>
    </row>
    <row r="55">
      <c r="A55">
        <f t="shared" si="1"/>
        <v>2353</v>
      </c>
      <c r="B55" s="108" t="str">
        <f>IFERROR(__xludf.DUMMYFUNCTION("""COMPUTED_VALUE"""),"CS")</f>
        <v>CS</v>
      </c>
      <c r="C55">
        <f>IFERROR(__xludf.DUMMYFUNCTION("""COMPUTED_VALUE"""),2353.0)</f>
        <v>2353</v>
      </c>
    </row>
    <row r="56">
      <c r="A56">
        <f t="shared" si="1"/>
        <v>2354</v>
      </c>
      <c r="B56" s="108" t="str">
        <f>IFERROR(__xludf.DUMMYFUNCTION("""COMPUTED_VALUE"""),"JB")</f>
        <v>JB</v>
      </c>
      <c r="C56">
        <f>IFERROR(__xludf.DUMMYFUNCTION("""COMPUTED_VALUE"""),2354.0)</f>
        <v>2354</v>
      </c>
    </row>
    <row r="57">
      <c r="A57">
        <f t="shared" si="1"/>
        <v>2355</v>
      </c>
      <c r="B57" s="108" t="str">
        <f>IFERROR(__xludf.DUMMYFUNCTION("""COMPUTED_VALUE"""),"LJ")</f>
        <v>LJ</v>
      </c>
      <c r="C57">
        <f>IFERROR(__xludf.DUMMYFUNCTION("""COMPUTED_VALUE"""),2355.0)</f>
        <v>2355</v>
      </c>
    </row>
    <row r="58">
      <c r="A58">
        <f t="shared" si="1"/>
        <v>2356</v>
      </c>
      <c r="B58" s="108" t="str">
        <f>IFERROR(__xludf.DUMMYFUNCTION("""COMPUTED_VALUE"""),"JB")</f>
        <v>JB</v>
      </c>
      <c r="C58">
        <f>IFERROR(__xludf.DUMMYFUNCTION("""COMPUTED_VALUE"""),2356.0)</f>
        <v>2356</v>
      </c>
    </row>
    <row r="59">
      <c r="A59">
        <f t="shared" si="1"/>
        <v>2357</v>
      </c>
      <c r="B59" s="108" t="str">
        <f>IFERROR(__xludf.DUMMYFUNCTION("""COMPUTED_VALUE"""),"SB")</f>
        <v>SB</v>
      </c>
      <c r="C59">
        <f>IFERROR(__xludf.DUMMYFUNCTION("""COMPUTED_VALUE"""),2357.0)</f>
        <v>2357</v>
      </c>
    </row>
    <row r="60">
      <c r="A60">
        <f t="shared" si="1"/>
        <v>2358</v>
      </c>
      <c r="B60" s="108" t="str">
        <f>IFERROR(__xludf.DUMMYFUNCTION("""COMPUTED_VALUE"""),"CS")</f>
        <v>CS</v>
      </c>
      <c r="C60">
        <f>IFERROR(__xludf.DUMMYFUNCTION("""COMPUTED_VALUE"""),2358.0)</f>
        <v>2358</v>
      </c>
    </row>
    <row r="61">
      <c r="A61">
        <f t="shared" si="1"/>
        <v>2359</v>
      </c>
      <c r="B61" s="108" t="str">
        <f>IFERROR(__xludf.DUMMYFUNCTION("""COMPUTED_VALUE"""),"CS")</f>
        <v>CS</v>
      </c>
      <c r="C61">
        <f>IFERROR(__xludf.DUMMYFUNCTION("""COMPUTED_VALUE"""),2359.0)</f>
        <v>2359</v>
      </c>
    </row>
    <row r="62">
      <c r="A62">
        <f t="shared" si="1"/>
        <v>2360</v>
      </c>
      <c r="B62" s="108" t="str">
        <f>IFERROR(__xludf.DUMMYFUNCTION("""COMPUTED_VALUE"""),"DM")</f>
        <v>DM</v>
      </c>
      <c r="C62">
        <f>IFERROR(__xludf.DUMMYFUNCTION("""COMPUTED_VALUE"""),2360.0)</f>
        <v>2360</v>
      </c>
    </row>
    <row r="63">
      <c r="A63">
        <f t="shared" si="1"/>
        <v>2361</v>
      </c>
      <c r="B63" s="108" t="str">
        <f>IFERROR(__xludf.DUMMYFUNCTION("""COMPUTED_VALUE"""),"DM")</f>
        <v>DM</v>
      </c>
      <c r="C63">
        <f>IFERROR(__xludf.DUMMYFUNCTION("""COMPUTED_VALUE"""),2361.0)</f>
        <v>2361</v>
      </c>
    </row>
    <row r="64">
      <c r="A64">
        <f t="shared" si="1"/>
        <v>2362</v>
      </c>
      <c r="B64" s="108" t="str">
        <f>IFERROR(__xludf.DUMMYFUNCTION("""COMPUTED_VALUE"""),"CS")</f>
        <v>CS</v>
      </c>
      <c r="C64">
        <f>IFERROR(__xludf.DUMMYFUNCTION("""COMPUTED_VALUE"""),2362.0)</f>
        <v>2362</v>
      </c>
    </row>
    <row r="65">
      <c r="A65">
        <f t="shared" si="1"/>
        <v>2363</v>
      </c>
      <c r="B65" s="108" t="str">
        <f>IFERROR(__xludf.DUMMYFUNCTION("""COMPUTED_VALUE"""),"CS")</f>
        <v>CS</v>
      </c>
      <c r="C65">
        <f>IFERROR(__xludf.DUMMYFUNCTION("""COMPUTED_VALUE"""),2363.0)</f>
        <v>2363</v>
      </c>
    </row>
    <row r="66">
      <c r="A66">
        <f t="shared" si="1"/>
        <v>2364</v>
      </c>
      <c r="B66" s="108" t="str">
        <f>IFERROR(__xludf.DUMMYFUNCTION("""COMPUTED_VALUE"""),"SB")</f>
        <v>SB</v>
      </c>
      <c r="C66">
        <f>IFERROR(__xludf.DUMMYFUNCTION("""COMPUTED_VALUE"""),2364.0)</f>
        <v>2364</v>
      </c>
    </row>
    <row r="67">
      <c r="A67">
        <f t="shared" si="1"/>
        <v>2365</v>
      </c>
      <c r="B67" s="108" t="str">
        <f>IFERROR(__xludf.DUMMYFUNCTION("""COMPUTED_VALUE"""),"CS")</f>
        <v>CS</v>
      </c>
      <c r="C67">
        <f>IFERROR(__xludf.DUMMYFUNCTION("""COMPUTED_VALUE"""),2365.0)</f>
        <v>2365</v>
      </c>
    </row>
    <row r="68">
      <c r="A68">
        <f t="shared" si="1"/>
        <v>2366</v>
      </c>
      <c r="B68" s="108" t="str">
        <f>IFERROR(__xludf.DUMMYFUNCTION("""COMPUTED_VALUE"""),"CS")</f>
        <v>CS</v>
      </c>
      <c r="C68">
        <f>IFERROR(__xludf.DUMMYFUNCTION("""COMPUTED_VALUE"""),2366.0)</f>
        <v>2366</v>
      </c>
    </row>
    <row r="69">
      <c r="A69">
        <f t="shared" si="1"/>
        <v>2367</v>
      </c>
      <c r="B69" s="108" t="str">
        <f>IFERROR(__xludf.DUMMYFUNCTION("""COMPUTED_VALUE"""),"DM")</f>
        <v>DM</v>
      </c>
      <c r="C69">
        <f>IFERROR(__xludf.DUMMYFUNCTION("""COMPUTED_VALUE"""),2367.0)</f>
        <v>2367</v>
      </c>
    </row>
    <row r="70">
      <c r="A70">
        <f t="shared" si="1"/>
        <v>2368</v>
      </c>
      <c r="B70" s="108" t="str">
        <f>IFERROR(__xludf.DUMMYFUNCTION("""COMPUTED_VALUE"""),"CS")</f>
        <v>CS</v>
      </c>
      <c r="C70">
        <f>IFERROR(__xludf.DUMMYFUNCTION("""COMPUTED_VALUE"""),2368.0)</f>
        <v>2368</v>
      </c>
    </row>
    <row r="71">
      <c r="A71">
        <f t="shared" si="1"/>
        <v>2369</v>
      </c>
      <c r="B71" s="108" t="str">
        <f>IFERROR(__xludf.DUMMYFUNCTION("""COMPUTED_VALUE"""),"DM")</f>
        <v>DM</v>
      </c>
      <c r="C71">
        <f>IFERROR(__xludf.DUMMYFUNCTION("""COMPUTED_VALUE"""),2369.0)</f>
        <v>2369</v>
      </c>
    </row>
    <row r="72">
      <c r="A72">
        <f t="shared" si="1"/>
        <v>2370</v>
      </c>
      <c r="B72" s="108" t="str">
        <f>IFERROR(__xludf.DUMMYFUNCTION("""COMPUTED_VALUE"""),"CS")</f>
        <v>CS</v>
      </c>
      <c r="C72">
        <f>IFERROR(__xludf.DUMMYFUNCTION("""COMPUTED_VALUE"""),2370.0)</f>
        <v>2370</v>
      </c>
    </row>
    <row r="73">
      <c r="A73">
        <f t="shared" si="1"/>
        <v>2371</v>
      </c>
      <c r="B73" s="108" t="str">
        <f>IFERROR(__xludf.DUMMYFUNCTION("""COMPUTED_VALUE"""),"DM")</f>
        <v>DM</v>
      </c>
      <c r="C73">
        <f>IFERROR(__xludf.DUMMYFUNCTION("""COMPUTED_VALUE"""),2371.0)</f>
        <v>2371</v>
      </c>
    </row>
    <row r="74">
      <c r="A74">
        <f t="shared" si="1"/>
        <v>2372</v>
      </c>
      <c r="B74" s="108" t="str">
        <f>IFERROR(__xludf.DUMMYFUNCTION("""COMPUTED_VALUE"""),"TM")</f>
        <v>TM</v>
      </c>
      <c r="C74">
        <f>IFERROR(__xludf.DUMMYFUNCTION("""COMPUTED_VALUE"""),2372.0)</f>
        <v>2372</v>
      </c>
    </row>
    <row r="75">
      <c r="A75">
        <f t="shared" si="1"/>
        <v>2373</v>
      </c>
      <c r="B75" s="108" t="str">
        <f>IFERROR(__xludf.DUMMYFUNCTION("""COMPUTED_VALUE"""),"KB")</f>
        <v>KB</v>
      </c>
      <c r="C75">
        <f>IFERROR(__xludf.DUMMYFUNCTION("""COMPUTED_VALUE"""),2373.0)</f>
        <v>2373</v>
      </c>
    </row>
    <row r="76">
      <c r="A76">
        <f t="shared" si="1"/>
        <v>2374</v>
      </c>
      <c r="B76" s="108" t="str">
        <f>IFERROR(__xludf.DUMMYFUNCTION("""COMPUTED_VALUE"""),"DM")</f>
        <v>DM</v>
      </c>
      <c r="C76">
        <f>IFERROR(__xludf.DUMMYFUNCTION("""COMPUTED_VALUE"""),2374.0)</f>
        <v>2374</v>
      </c>
    </row>
    <row r="77">
      <c r="A77">
        <f t="shared" si="1"/>
        <v>2375</v>
      </c>
      <c r="B77" s="108" t="str">
        <f>IFERROR(__xludf.DUMMYFUNCTION("""COMPUTED_VALUE"""),"KB")</f>
        <v>KB</v>
      </c>
      <c r="C77">
        <f>IFERROR(__xludf.DUMMYFUNCTION("""COMPUTED_VALUE"""),2375.0)</f>
        <v>2375</v>
      </c>
    </row>
    <row r="78">
      <c r="A78">
        <f t="shared" si="1"/>
        <v>2376</v>
      </c>
      <c r="B78" s="108" t="str">
        <f>IFERROR(__xludf.DUMMYFUNCTION("""COMPUTED_VALUE"""),"DM")</f>
        <v>DM</v>
      </c>
      <c r="C78">
        <f>IFERROR(__xludf.DUMMYFUNCTION("""COMPUTED_VALUE"""),2376.0)</f>
        <v>2376</v>
      </c>
    </row>
    <row r="79">
      <c r="A79">
        <f t="shared" si="1"/>
        <v>2377</v>
      </c>
      <c r="B79" s="108" t="str">
        <f>IFERROR(__xludf.DUMMYFUNCTION("""COMPUTED_VALUE"""),"CS")</f>
        <v>CS</v>
      </c>
      <c r="C79">
        <f>IFERROR(__xludf.DUMMYFUNCTION("""COMPUTED_VALUE"""),2377.0)</f>
        <v>2377</v>
      </c>
    </row>
    <row r="80">
      <c r="A80">
        <f t="shared" si="1"/>
        <v>2378</v>
      </c>
      <c r="B80" s="108" t="str">
        <f>IFERROR(__xludf.DUMMYFUNCTION("""COMPUTED_VALUE"""),"KB")</f>
        <v>KB</v>
      </c>
      <c r="C80">
        <f>IFERROR(__xludf.DUMMYFUNCTION("""COMPUTED_VALUE"""),2378.0)</f>
        <v>2378</v>
      </c>
    </row>
    <row r="81">
      <c r="A81">
        <f t="shared" si="1"/>
        <v>2379</v>
      </c>
      <c r="B81" s="108" t="str">
        <f>IFERROR(__xludf.DUMMYFUNCTION("""COMPUTED_VALUE"""),"CS")</f>
        <v>CS</v>
      </c>
      <c r="C81">
        <f>IFERROR(__xludf.DUMMYFUNCTION("""COMPUTED_VALUE"""),2379.0)</f>
        <v>2379</v>
      </c>
    </row>
    <row r="82">
      <c r="A82">
        <f t="shared" si="1"/>
        <v>2380</v>
      </c>
      <c r="B82" s="108" t="str">
        <f>IFERROR(__xludf.DUMMYFUNCTION("""COMPUTED_VALUE"""),"TM")</f>
        <v>TM</v>
      </c>
      <c r="C82">
        <f>IFERROR(__xludf.DUMMYFUNCTION("""COMPUTED_VALUE"""),2380.0)</f>
        <v>2380</v>
      </c>
    </row>
    <row r="83">
      <c r="A83">
        <f t="shared" si="1"/>
        <v>2381</v>
      </c>
      <c r="B83" s="108" t="str">
        <f>IFERROR(__xludf.DUMMYFUNCTION("""COMPUTED_VALUE"""),"KB")</f>
        <v>KB</v>
      </c>
      <c r="C83">
        <f>IFERROR(__xludf.DUMMYFUNCTION("""COMPUTED_VALUE"""),2381.0)</f>
        <v>2381</v>
      </c>
    </row>
    <row r="84">
      <c r="A84">
        <f t="shared" si="1"/>
        <v>2382</v>
      </c>
      <c r="B84" s="108" t="str">
        <f>IFERROR(__xludf.DUMMYFUNCTION("""COMPUTED_VALUE"""),"CS")</f>
        <v>CS</v>
      </c>
      <c r="C84">
        <f>IFERROR(__xludf.DUMMYFUNCTION("""COMPUTED_VALUE"""),2382.0)</f>
        <v>2382</v>
      </c>
    </row>
    <row r="85">
      <c r="A85">
        <f t="shared" si="1"/>
        <v>2383</v>
      </c>
      <c r="B85" s="108" t="str">
        <f>IFERROR(__xludf.DUMMYFUNCTION("""COMPUTED_VALUE"""),"CS")</f>
        <v>CS</v>
      </c>
      <c r="C85">
        <f>IFERROR(__xludf.DUMMYFUNCTION("""COMPUTED_VALUE"""),2383.0)</f>
        <v>2383</v>
      </c>
    </row>
    <row r="86">
      <c r="A86">
        <f t="shared" si="1"/>
        <v>2384</v>
      </c>
      <c r="B86" s="108" t="str">
        <f>IFERROR(__xludf.DUMMYFUNCTION("""COMPUTED_VALUE"""),"KB")</f>
        <v>KB</v>
      </c>
      <c r="C86">
        <f>IFERROR(__xludf.DUMMYFUNCTION("""COMPUTED_VALUE"""),2384.0)</f>
        <v>2384</v>
      </c>
    </row>
    <row r="87">
      <c r="A87">
        <f t="shared" si="1"/>
        <v>2385</v>
      </c>
      <c r="B87" s="108" t="str">
        <f>IFERROR(__xludf.DUMMYFUNCTION("""COMPUTED_VALUE"""),"DM")</f>
        <v>DM</v>
      </c>
      <c r="C87">
        <f>IFERROR(__xludf.DUMMYFUNCTION("""COMPUTED_VALUE"""),2385.0)</f>
        <v>2385</v>
      </c>
    </row>
    <row r="88">
      <c r="A88">
        <f t="shared" si="1"/>
        <v>2386</v>
      </c>
      <c r="B88" s="108" t="str">
        <f>IFERROR(__xludf.DUMMYFUNCTION("""COMPUTED_VALUE"""),"DM")</f>
        <v>DM</v>
      </c>
      <c r="C88">
        <f>IFERROR(__xludf.DUMMYFUNCTION("""COMPUTED_VALUE"""),2386.0)</f>
        <v>2386</v>
      </c>
    </row>
    <row r="89">
      <c r="A89">
        <f t="shared" si="1"/>
        <v>2387</v>
      </c>
      <c r="B89" s="108" t="str">
        <f>IFERROR(__xludf.DUMMYFUNCTION("""COMPUTED_VALUE"""),"DM")</f>
        <v>DM</v>
      </c>
      <c r="C89">
        <f>IFERROR(__xludf.DUMMYFUNCTION("""COMPUTED_VALUE"""),2387.0)</f>
        <v>2387</v>
      </c>
    </row>
    <row r="90">
      <c r="A90">
        <f t="shared" si="1"/>
        <v>2388</v>
      </c>
      <c r="B90" s="108" t="str">
        <f>IFERROR(__xludf.DUMMYFUNCTION("""COMPUTED_VALUE"""),"DM")</f>
        <v>DM</v>
      </c>
      <c r="C90">
        <f>IFERROR(__xludf.DUMMYFUNCTION("""COMPUTED_VALUE"""),2388.0)</f>
        <v>2388</v>
      </c>
    </row>
    <row r="91">
      <c r="A91">
        <f t="shared" si="1"/>
        <v>2389</v>
      </c>
      <c r="B91" s="108" t="str">
        <f>IFERROR(__xludf.DUMMYFUNCTION("""COMPUTED_VALUE"""),"DM")</f>
        <v>DM</v>
      </c>
      <c r="C91">
        <f>IFERROR(__xludf.DUMMYFUNCTION("""COMPUTED_VALUE"""),2389.0)</f>
        <v>2389</v>
      </c>
    </row>
    <row r="92">
      <c r="A92">
        <f t="shared" si="1"/>
        <v>2390</v>
      </c>
      <c r="B92" s="108" t="str">
        <f>IFERROR(__xludf.DUMMYFUNCTION("""COMPUTED_VALUE"""),"KB")</f>
        <v>KB</v>
      </c>
      <c r="C92">
        <f>IFERROR(__xludf.DUMMYFUNCTION("""COMPUTED_VALUE"""),2390.0)</f>
        <v>2390</v>
      </c>
    </row>
    <row r="93">
      <c r="A93">
        <f t="shared" si="1"/>
        <v>2391</v>
      </c>
      <c r="B93" s="108" t="str">
        <f>IFERROR(__xludf.DUMMYFUNCTION("""COMPUTED_VALUE"""),"DM")</f>
        <v>DM</v>
      </c>
      <c r="C93">
        <f>IFERROR(__xludf.DUMMYFUNCTION("""COMPUTED_VALUE"""),2391.0)</f>
        <v>2391</v>
      </c>
    </row>
    <row r="94">
      <c r="A94">
        <f t="shared" si="1"/>
        <v>2392</v>
      </c>
      <c r="B94" s="108" t="str">
        <f>IFERROR(__xludf.DUMMYFUNCTION("""COMPUTED_VALUE"""),"CS")</f>
        <v>CS</v>
      </c>
      <c r="C94">
        <f>IFERROR(__xludf.DUMMYFUNCTION("""COMPUTED_VALUE"""),2392.0)</f>
        <v>2392</v>
      </c>
    </row>
    <row r="95">
      <c r="A95">
        <f t="shared" si="1"/>
        <v>2393</v>
      </c>
      <c r="B95" s="108" t="str">
        <f>IFERROR(__xludf.DUMMYFUNCTION("""COMPUTED_VALUE"""),"KB")</f>
        <v>KB</v>
      </c>
      <c r="C95">
        <f>IFERROR(__xludf.DUMMYFUNCTION("""COMPUTED_VALUE"""),2393.0)</f>
        <v>2393</v>
      </c>
    </row>
    <row r="96">
      <c r="A96">
        <f t="shared" si="1"/>
        <v>2394</v>
      </c>
      <c r="B96" s="108" t="str">
        <f>IFERROR(__xludf.DUMMYFUNCTION("""COMPUTED_VALUE"""),"CS")</f>
        <v>CS</v>
      </c>
      <c r="C96">
        <f>IFERROR(__xludf.DUMMYFUNCTION("""COMPUTED_VALUE"""),2394.0)</f>
        <v>2394</v>
      </c>
    </row>
    <row r="97">
      <c r="A97">
        <f t="shared" si="1"/>
        <v>2395</v>
      </c>
      <c r="B97" s="108" t="str">
        <f>IFERROR(__xludf.DUMMYFUNCTION("""COMPUTED_VALUE"""),"CS")</f>
        <v>CS</v>
      </c>
      <c r="C97">
        <f>IFERROR(__xludf.DUMMYFUNCTION("""COMPUTED_VALUE"""),2395.0)</f>
        <v>2395</v>
      </c>
    </row>
    <row r="98">
      <c r="A98">
        <f t="shared" si="1"/>
        <v>2396</v>
      </c>
      <c r="B98" s="108" t="str">
        <f>IFERROR(__xludf.DUMMYFUNCTION("""COMPUTED_VALUE"""),"KB")</f>
        <v>KB</v>
      </c>
      <c r="C98">
        <f>IFERROR(__xludf.DUMMYFUNCTION("""COMPUTED_VALUE"""),2396.0)</f>
        <v>2396</v>
      </c>
    </row>
    <row r="99">
      <c r="A99">
        <f t="shared" si="1"/>
        <v>2397</v>
      </c>
      <c r="B99" s="108" t="str">
        <f>IFERROR(__xludf.DUMMYFUNCTION("""COMPUTED_VALUE"""),"CS")</f>
        <v>CS</v>
      </c>
      <c r="C99">
        <f>IFERROR(__xludf.DUMMYFUNCTION("""COMPUTED_VALUE"""),2397.0)</f>
        <v>2397</v>
      </c>
    </row>
    <row r="100">
      <c r="A100">
        <f t="shared" si="1"/>
        <v>2398</v>
      </c>
      <c r="B100" s="108" t="str">
        <f>IFERROR(__xludf.DUMMYFUNCTION("""COMPUTED_VALUE"""),"CS")</f>
        <v>CS</v>
      </c>
      <c r="C100">
        <f>IFERROR(__xludf.DUMMYFUNCTION("""COMPUTED_VALUE"""),2398.0)</f>
        <v>2398</v>
      </c>
    </row>
    <row r="101">
      <c r="A101">
        <f t="shared" si="1"/>
        <v>2399</v>
      </c>
      <c r="B101" s="108" t="str">
        <f>IFERROR(__xludf.DUMMYFUNCTION("""COMPUTED_VALUE"""),"SB")</f>
        <v>SB</v>
      </c>
      <c r="C101">
        <f>IFERROR(__xludf.DUMMYFUNCTION("""COMPUTED_VALUE"""),2399.0)</f>
        <v>2399</v>
      </c>
    </row>
    <row r="102">
      <c r="A102">
        <f t="shared" si="1"/>
        <v>2400</v>
      </c>
      <c r="B102" s="108" t="str">
        <f>IFERROR(__xludf.DUMMYFUNCTION("""COMPUTED_VALUE"""),"CS")</f>
        <v>CS</v>
      </c>
      <c r="C102">
        <f>IFERROR(__xludf.DUMMYFUNCTION("""COMPUTED_VALUE"""),2400.0)</f>
        <v>2400</v>
      </c>
    </row>
    <row r="103">
      <c r="A103">
        <f t="shared" si="1"/>
        <v>2401</v>
      </c>
      <c r="B103" s="108" t="str">
        <f>IFERROR(__xludf.DUMMYFUNCTION("""COMPUTED_VALUE"""),"CS")</f>
        <v>CS</v>
      </c>
      <c r="C103">
        <f>IFERROR(__xludf.DUMMYFUNCTION("""COMPUTED_VALUE"""),2401.0)</f>
        <v>2401</v>
      </c>
    </row>
    <row r="104">
      <c r="A104">
        <f t="shared" si="1"/>
        <v>2402</v>
      </c>
      <c r="B104" s="108" t="str">
        <f>IFERROR(__xludf.DUMMYFUNCTION("""COMPUTED_VALUE"""),"KB")</f>
        <v>KB</v>
      </c>
      <c r="C104">
        <f>IFERROR(__xludf.DUMMYFUNCTION("""COMPUTED_VALUE"""),2402.0)</f>
        <v>2402</v>
      </c>
    </row>
    <row r="105">
      <c r="A105">
        <f t="shared" si="1"/>
        <v>2403</v>
      </c>
      <c r="B105" s="108" t="str">
        <f>IFERROR(__xludf.DUMMYFUNCTION("""COMPUTED_VALUE"""),"CS")</f>
        <v>CS</v>
      </c>
      <c r="C105">
        <f>IFERROR(__xludf.DUMMYFUNCTION("""COMPUTED_VALUE"""),2403.0)</f>
        <v>2403</v>
      </c>
    </row>
    <row r="106">
      <c r="A106">
        <f t="shared" si="1"/>
        <v>2404</v>
      </c>
      <c r="B106" s="108" t="str">
        <f>IFERROR(__xludf.DUMMYFUNCTION("""COMPUTED_VALUE"""),"KB")</f>
        <v>KB</v>
      </c>
      <c r="C106">
        <f>IFERROR(__xludf.DUMMYFUNCTION("""COMPUTED_VALUE"""),2404.0)</f>
        <v>2404</v>
      </c>
    </row>
    <row r="107">
      <c r="A107">
        <f t="shared" si="1"/>
        <v>2405</v>
      </c>
      <c r="B107" s="108" t="str">
        <f>IFERROR(__xludf.DUMMYFUNCTION("""COMPUTED_VALUE"""),"CS")</f>
        <v>CS</v>
      </c>
      <c r="C107">
        <f>IFERROR(__xludf.DUMMYFUNCTION("""COMPUTED_VALUE"""),2405.0)</f>
        <v>2405</v>
      </c>
    </row>
    <row r="108">
      <c r="A108">
        <f t="shared" si="1"/>
        <v>2406</v>
      </c>
      <c r="B108" s="108" t="str">
        <f>IFERROR(__xludf.DUMMYFUNCTION("""COMPUTED_VALUE"""),"DM")</f>
        <v>DM</v>
      </c>
      <c r="C108">
        <f>IFERROR(__xludf.DUMMYFUNCTION("""COMPUTED_VALUE"""),2406.0)</f>
        <v>2406</v>
      </c>
    </row>
    <row r="109">
      <c r="A109">
        <f t="shared" si="1"/>
        <v>2407</v>
      </c>
      <c r="B109" s="108" t="str">
        <f>IFERROR(__xludf.DUMMYFUNCTION("""COMPUTED_VALUE"""),"DM")</f>
        <v>DM</v>
      </c>
      <c r="C109">
        <f>IFERROR(__xludf.DUMMYFUNCTION("""COMPUTED_VALUE"""),2407.0)</f>
        <v>2407</v>
      </c>
    </row>
    <row r="110">
      <c r="A110">
        <f t="shared" si="1"/>
        <v>2408</v>
      </c>
      <c r="B110" s="108" t="str">
        <f>IFERROR(__xludf.DUMMYFUNCTION("""COMPUTED_VALUE"""),"KB")</f>
        <v>KB</v>
      </c>
      <c r="C110">
        <f>IFERROR(__xludf.DUMMYFUNCTION("""COMPUTED_VALUE"""),2408.0)</f>
        <v>2408</v>
      </c>
    </row>
    <row r="111">
      <c r="A111">
        <f t="shared" si="1"/>
        <v>2409</v>
      </c>
      <c r="B111" s="108" t="str">
        <f>IFERROR(__xludf.DUMMYFUNCTION("""COMPUTED_VALUE"""),"CS")</f>
        <v>CS</v>
      </c>
      <c r="C111">
        <f>IFERROR(__xludf.DUMMYFUNCTION("""COMPUTED_VALUE"""),2409.0)</f>
        <v>2409</v>
      </c>
    </row>
    <row r="112">
      <c r="A112">
        <f t="shared" si="1"/>
        <v>2410</v>
      </c>
      <c r="B112" s="108" t="str">
        <f>IFERROR(__xludf.DUMMYFUNCTION("""COMPUTED_VALUE"""),"DM")</f>
        <v>DM</v>
      </c>
      <c r="C112">
        <f>IFERROR(__xludf.DUMMYFUNCTION("""COMPUTED_VALUE"""),2410.0)</f>
        <v>2410</v>
      </c>
    </row>
    <row r="113">
      <c r="A113">
        <f t="shared" si="1"/>
        <v>2411</v>
      </c>
      <c r="B113" s="108" t="str">
        <f>IFERROR(__xludf.DUMMYFUNCTION("""COMPUTED_VALUE"""),"KB")</f>
        <v>KB</v>
      </c>
      <c r="C113">
        <f>IFERROR(__xludf.DUMMYFUNCTION("""COMPUTED_VALUE"""),2411.0)</f>
        <v>2411</v>
      </c>
    </row>
    <row r="114">
      <c r="A114">
        <f t="shared" si="1"/>
        <v>2412</v>
      </c>
      <c r="B114" s="108" t="str">
        <f>IFERROR(__xludf.DUMMYFUNCTION("""COMPUTED_VALUE"""),"CS")</f>
        <v>CS</v>
      </c>
      <c r="C114">
        <f>IFERROR(__xludf.DUMMYFUNCTION("""COMPUTED_VALUE"""),2412.0)</f>
        <v>2412</v>
      </c>
    </row>
    <row r="115">
      <c r="A115">
        <f t="shared" si="1"/>
        <v>2413</v>
      </c>
      <c r="B115" s="108" t="str">
        <f>IFERROR(__xludf.DUMMYFUNCTION("""COMPUTED_VALUE"""),"CS")</f>
        <v>CS</v>
      </c>
      <c r="C115">
        <f>IFERROR(__xludf.DUMMYFUNCTION("""COMPUTED_VALUE"""),2413.0)</f>
        <v>2413</v>
      </c>
    </row>
    <row r="116">
      <c r="A116">
        <f t="shared" si="1"/>
        <v>2414</v>
      </c>
      <c r="B116" s="108" t="str">
        <f>IFERROR(__xludf.DUMMYFUNCTION("""COMPUTED_VALUE"""),"CS")</f>
        <v>CS</v>
      </c>
      <c r="C116">
        <f>IFERROR(__xludf.DUMMYFUNCTION("""COMPUTED_VALUE"""),2414.0)</f>
        <v>2414</v>
      </c>
    </row>
    <row r="117">
      <c r="A117">
        <f t="shared" si="1"/>
        <v>2415</v>
      </c>
      <c r="B117" s="108" t="str">
        <f>IFERROR(__xludf.DUMMYFUNCTION("""COMPUTED_VALUE"""),"DM")</f>
        <v>DM</v>
      </c>
      <c r="C117">
        <f>IFERROR(__xludf.DUMMYFUNCTION("""COMPUTED_VALUE"""),2415.0)</f>
        <v>2415</v>
      </c>
    </row>
    <row r="118">
      <c r="A118">
        <f t="shared" si="1"/>
        <v>2416</v>
      </c>
      <c r="B118" s="108" t="str">
        <f>IFERROR(__xludf.DUMMYFUNCTION("""COMPUTED_VALUE"""),"NGC")</f>
        <v>NGC</v>
      </c>
      <c r="C118">
        <f>IFERROR(__xludf.DUMMYFUNCTION("""COMPUTED_VALUE"""),2416.0)</f>
        <v>2416</v>
      </c>
    </row>
    <row r="119">
      <c r="A119">
        <f t="shared" si="1"/>
        <v>2417</v>
      </c>
      <c r="B119" s="108" t="str">
        <f>IFERROR(__xludf.DUMMYFUNCTION("""COMPUTED_VALUE"""),"NGC")</f>
        <v>NGC</v>
      </c>
      <c r="C119">
        <f>IFERROR(__xludf.DUMMYFUNCTION("""COMPUTED_VALUE"""),2417.0)</f>
        <v>2417</v>
      </c>
    </row>
    <row r="120">
      <c r="A120">
        <f t="shared" si="1"/>
        <v>2418</v>
      </c>
      <c r="B120" s="108" t="str">
        <f>IFERROR(__xludf.DUMMYFUNCTION("""COMPUTED_VALUE"""),"DM")</f>
        <v>DM</v>
      </c>
      <c r="C120">
        <f>IFERROR(__xludf.DUMMYFUNCTION("""COMPUTED_VALUE"""),2418.0)</f>
        <v>2418</v>
      </c>
    </row>
    <row r="121">
      <c r="A121">
        <f t="shared" si="1"/>
        <v>2419</v>
      </c>
      <c r="B121" s="108" t="str">
        <f>IFERROR(__xludf.DUMMYFUNCTION("""COMPUTED_VALUE"""),"NGC")</f>
        <v>NGC</v>
      </c>
      <c r="C121">
        <f>IFERROR(__xludf.DUMMYFUNCTION("""COMPUTED_VALUE"""),2419.0)</f>
        <v>2419</v>
      </c>
    </row>
    <row r="122">
      <c r="A122">
        <f t="shared" si="1"/>
        <v>2420</v>
      </c>
      <c r="B122" s="108" t="str">
        <f>IFERROR(__xludf.DUMMYFUNCTION("""COMPUTED_VALUE"""),"KB")</f>
        <v>KB</v>
      </c>
      <c r="C122">
        <f>IFERROR(__xludf.DUMMYFUNCTION("""COMPUTED_VALUE"""),2420.0)</f>
        <v>2420</v>
      </c>
    </row>
    <row r="123">
      <c r="A123">
        <f t="shared" si="1"/>
        <v>2421</v>
      </c>
      <c r="B123" s="108" t="str">
        <f>IFERROR(__xludf.DUMMYFUNCTION("""COMPUTED_VALUE"""),"DM")</f>
        <v>DM</v>
      </c>
      <c r="C123">
        <f>IFERROR(__xludf.DUMMYFUNCTION("""COMPUTED_VALUE"""),2421.0)</f>
        <v>2421</v>
      </c>
    </row>
    <row r="124">
      <c r="A124">
        <f t="shared" si="1"/>
        <v>2422</v>
      </c>
      <c r="B124" s="108" t="str">
        <f>IFERROR(__xludf.DUMMYFUNCTION("""COMPUTED_VALUE"""),"CS")</f>
        <v>CS</v>
      </c>
      <c r="C124">
        <f>IFERROR(__xludf.DUMMYFUNCTION("""COMPUTED_VALUE"""),2422.0)</f>
        <v>2422</v>
      </c>
    </row>
    <row r="125">
      <c r="A125">
        <f t="shared" si="1"/>
        <v>2423</v>
      </c>
      <c r="B125" s="108" t="str">
        <f>IFERROR(__xludf.DUMMYFUNCTION("""COMPUTED_VALUE"""),"NGC")</f>
        <v>NGC</v>
      </c>
      <c r="C125">
        <f>IFERROR(__xludf.DUMMYFUNCTION("""COMPUTED_VALUE"""),2423.0)</f>
        <v>2423</v>
      </c>
    </row>
    <row r="126">
      <c r="A126">
        <f t="shared" si="1"/>
        <v>2424</v>
      </c>
      <c r="B126" s="108" t="str">
        <f>IFERROR(__xludf.DUMMYFUNCTION("""COMPUTED_VALUE"""),"DM")</f>
        <v>DM</v>
      </c>
      <c r="C126">
        <f>IFERROR(__xludf.DUMMYFUNCTION("""COMPUTED_VALUE"""),2424.0)</f>
        <v>2424</v>
      </c>
    </row>
    <row r="127">
      <c r="A127">
        <f t="shared" si="1"/>
        <v>2425</v>
      </c>
      <c r="B127" s="108" t="str">
        <f>IFERROR(__xludf.DUMMYFUNCTION("""COMPUTED_VALUE"""),"DM")</f>
        <v>DM</v>
      </c>
      <c r="C127">
        <f>IFERROR(__xludf.DUMMYFUNCTION("""COMPUTED_VALUE"""),2425.0)</f>
        <v>2425</v>
      </c>
    </row>
    <row r="128">
      <c r="A128">
        <f t="shared" si="1"/>
        <v>2426</v>
      </c>
      <c r="B128" s="108" t="str">
        <f>IFERROR(__xludf.DUMMYFUNCTION("""COMPUTED_VALUE"""),"DM")</f>
        <v>DM</v>
      </c>
      <c r="C128">
        <f>IFERROR(__xludf.DUMMYFUNCTION("""COMPUTED_VALUE"""),2426.0)</f>
        <v>2426</v>
      </c>
    </row>
    <row r="129">
      <c r="A129">
        <f t="shared" si="1"/>
        <v>2427</v>
      </c>
      <c r="B129" s="108" t="str">
        <f>IFERROR(__xludf.DUMMYFUNCTION("""COMPUTED_VALUE"""),"DM")</f>
        <v>DM</v>
      </c>
      <c r="C129">
        <f>IFERROR(__xludf.DUMMYFUNCTION("""COMPUTED_VALUE"""),2427.0)</f>
        <v>2427</v>
      </c>
    </row>
    <row r="130">
      <c r="A130">
        <f t="shared" si="1"/>
        <v>2428</v>
      </c>
      <c r="B130" s="108" t="str">
        <f>IFERROR(__xludf.DUMMYFUNCTION("""COMPUTED_VALUE"""),"CS")</f>
        <v>CS</v>
      </c>
      <c r="C130">
        <f>IFERROR(__xludf.DUMMYFUNCTION("""COMPUTED_VALUE"""),2428.0)</f>
        <v>2428</v>
      </c>
    </row>
    <row r="131">
      <c r="A131">
        <f t="shared" si="1"/>
        <v>2429</v>
      </c>
      <c r="B131" s="108" t="str">
        <f>IFERROR(__xludf.DUMMYFUNCTION("""COMPUTED_VALUE"""),"DM")</f>
        <v>DM</v>
      </c>
      <c r="C131">
        <f>IFERROR(__xludf.DUMMYFUNCTION("""COMPUTED_VALUE"""),2429.0)</f>
        <v>2429</v>
      </c>
    </row>
    <row r="132">
      <c r="A132">
        <f t="shared" si="1"/>
        <v>2430</v>
      </c>
      <c r="B132" s="108" t="str">
        <f>IFERROR(__xludf.DUMMYFUNCTION("""COMPUTED_VALUE"""),"DM")</f>
        <v>DM</v>
      </c>
      <c r="C132">
        <f>IFERROR(__xludf.DUMMYFUNCTION("""COMPUTED_VALUE"""),2430.0)</f>
        <v>2430</v>
      </c>
    </row>
    <row r="133">
      <c r="A133">
        <f t="shared" si="1"/>
        <v>2431</v>
      </c>
      <c r="B133" s="108" t="str">
        <f>IFERROR(__xludf.DUMMYFUNCTION("""COMPUTED_VALUE"""),"DM")</f>
        <v>DM</v>
      </c>
      <c r="C133">
        <f>IFERROR(__xludf.DUMMYFUNCTION("""COMPUTED_VALUE"""),2431.0)</f>
        <v>2431</v>
      </c>
    </row>
    <row r="134">
      <c r="A134">
        <f t="shared" si="1"/>
        <v>2432</v>
      </c>
      <c r="B134" s="108" t="str">
        <f>IFERROR(__xludf.DUMMYFUNCTION("""COMPUTED_VALUE"""),"DM")</f>
        <v>DM</v>
      </c>
      <c r="C134">
        <f>IFERROR(__xludf.DUMMYFUNCTION("""COMPUTED_VALUE"""),2432.0)</f>
        <v>2432</v>
      </c>
    </row>
    <row r="135">
      <c r="A135">
        <f t="shared" si="1"/>
        <v>2433</v>
      </c>
      <c r="B135" s="108" t="str">
        <f>IFERROR(__xludf.DUMMYFUNCTION("""COMPUTED_VALUE"""),"CS")</f>
        <v>CS</v>
      </c>
      <c r="C135">
        <f>IFERROR(__xludf.DUMMYFUNCTION("""COMPUTED_VALUE"""),2433.0)</f>
        <v>2433</v>
      </c>
    </row>
    <row r="136">
      <c r="A136">
        <f t="shared" si="1"/>
        <v>2434</v>
      </c>
      <c r="B136" s="108" t="str">
        <f>IFERROR(__xludf.DUMMYFUNCTION("""COMPUTED_VALUE"""),"DM")</f>
        <v>DM</v>
      </c>
      <c r="C136">
        <f>IFERROR(__xludf.DUMMYFUNCTION("""COMPUTED_VALUE"""),2434.0)</f>
        <v>2434</v>
      </c>
    </row>
    <row r="137">
      <c r="A137">
        <f t="shared" si="1"/>
        <v>2435</v>
      </c>
      <c r="B137" s="108" t="str">
        <f>IFERROR(__xludf.DUMMYFUNCTION("""COMPUTED_VALUE"""),"DM")</f>
        <v>DM</v>
      </c>
      <c r="C137">
        <f>IFERROR(__xludf.DUMMYFUNCTION("""COMPUTED_VALUE"""),2435.0)</f>
        <v>2435</v>
      </c>
    </row>
    <row r="138">
      <c r="A138">
        <f t="shared" si="1"/>
        <v>2436</v>
      </c>
      <c r="B138" s="108" t="str">
        <f>IFERROR(__xludf.DUMMYFUNCTION("""COMPUTED_VALUE"""),"DM")</f>
        <v>DM</v>
      </c>
      <c r="C138">
        <f>IFERROR(__xludf.DUMMYFUNCTION("""COMPUTED_VALUE"""),2436.0)</f>
        <v>2436</v>
      </c>
    </row>
    <row r="139">
      <c r="A139">
        <f t="shared" si="1"/>
        <v>2437</v>
      </c>
      <c r="B139" s="108" t="str">
        <f>IFERROR(__xludf.DUMMYFUNCTION("""COMPUTED_VALUE"""),"CS")</f>
        <v>CS</v>
      </c>
      <c r="C139">
        <f>IFERROR(__xludf.DUMMYFUNCTION("""COMPUTED_VALUE"""),2437.0)</f>
        <v>2437</v>
      </c>
    </row>
    <row r="140">
      <c r="A140">
        <f t="shared" si="1"/>
        <v>2438</v>
      </c>
      <c r="B140" s="108" t="str">
        <f>IFERROR(__xludf.DUMMYFUNCTION("""COMPUTED_VALUE"""),"DM")</f>
        <v>DM</v>
      </c>
      <c r="C140">
        <f>IFERROR(__xludf.DUMMYFUNCTION("""COMPUTED_VALUE"""),2438.0)</f>
        <v>2438</v>
      </c>
    </row>
    <row r="141">
      <c r="A141">
        <f t="shared" si="1"/>
        <v>2439</v>
      </c>
      <c r="B141" s="108" t="str">
        <f>IFERROR(__xludf.DUMMYFUNCTION("""COMPUTED_VALUE"""),"DM")</f>
        <v>DM</v>
      </c>
      <c r="C141">
        <f>IFERROR(__xludf.DUMMYFUNCTION("""COMPUTED_VALUE"""),2439.0)</f>
        <v>2439</v>
      </c>
    </row>
    <row r="142">
      <c r="A142">
        <f t="shared" si="1"/>
        <v>2440</v>
      </c>
      <c r="B142" s="108" t="str">
        <f>IFERROR(__xludf.DUMMYFUNCTION("""COMPUTED_VALUE"""),"DM")</f>
        <v>DM</v>
      </c>
      <c r="C142">
        <f>IFERROR(__xludf.DUMMYFUNCTION("""COMPUTED_VALUE"""),2440.0)</f>
        <v>2440</v>
      </c>
    </row>
    <row r="143">
      <c r="A143">
        <f t="shared" si="1"/>
        <v>2441</v>
      </c>
      <c r="B143" s="108" t="str">
        <f>IFERROR(__xludf.DUMMYFUNCTION("""COMPUTED_VALUE"""),"DM")</f>
        <v>DM</v>
      </c>
      <c r="C143">
        <f>IFERROR(__xludf.DUMMYFUNCTION("""COMPUTED_VALUE"""),2441.0)</f>
        <v>2441</v>
      </c>
    </row>
    <row r="144">
      <c r="A144">
        <f t="shared" si="1"/>
        <v>2442</v>
      </c>
      <c r="B144" s="108" t="str">
        <f>IFERROR(__xludf.DUMMYFUNCTION("""COMPUTED_VALUE"""),"DM")</f>
        <v>DM</v>
      </c>
      <c r="C144">
        <f>IFERROR(__xludf.DUMMYFUNCTION("""COMPUTED_VALUE"""),2442.0)</f>
        <v>2442</v>
      </c>
    </row>
    <row r="145">
      <c r="A145">
        <f t="shared" si="1"/>
        <v>2443</v>
      </c>
      <c r="B145" s="108" t="str">
        <f>IFERROR(__xludf.DUMMYFUNCTION("""COMPUTED_VALUE"""),"DM")</f>
        <v>DM</v>
      </c>
      <c r="C145">
        <f>IFERROR(__xludf.DUMMYFUNCTION("""COMPUTED_VALUE"""),2443.0)</f>
        <v>2443</v>
      </c>
    </row>
    <row r="146">
      <c r="A146">
        <f t="shared" si="1"/>
        <v>2444</v>
      </c>
      <c r="B146" s="108" t="str">
        <f>IFERROR(__xludf.DUMMYFUNCTION("""COMPUTED_VALUE"""),"DM")</f>
        <v>DM</v>
      </c>
      <c r="C146">
        <f>IFERROR(__xludf.DUMMYFUNCTION("""COMPUTED_VALUE"""),2444.0)</f>
        <v>2444</v>
      </c>
    </row>
    <row r="147">
      <c r="A147">
        <f t="shared" si="1"/>
        <v>2445</v>
      </c>
      <c r="B147" s="108" t="str">
        <f>IFERROR(__xludf.DUMMYFUNCTION("""COMPUTED_VALUE"""),"DM")</f>
        <v>DM</v>
      </c>
      <c r="C147">
        <f>IFERROR(__xludf.DUMMYFUNCTION("""COMPUTED_VALUE"""),2445.0)</f>
        <v>2445</v>
      </c>
    </row>
    <row r="148">
      <c r="A148">
        <f t="shared" si="1"/>
        <v>2446</v>
      </c>
      <c r="B148" s="108" t="str">
        <f>IFERROR(__xludf.DUMMYFUNCTION("""COMPUTED_VALUE"""),"CS")</f>
        <v>CS</v>
      </c>
      <c r="C148">
        <f>IFERROR(__xludf.DUMMYFUNCTION("""COMPUTED_VALUE"""),2446.0)</f>
        <v>2446</v>
      </c>
    </row>
    <row r="149">
      <c r="A149">
        <f t="shared" si="1"/>
        <v>2447</v>
      </c>
      <c r="B149" s="108" t="str">
        <f>IFERROR(__xludf.DUMMYFUNCTION("""COMPUTED_VALUE"""),"CS")</f>
        <v>CS</v>
      </c>
      <c r="C149">
        <f>IFERROR(__xludf.DUMMYFUNCTION("""COMPUTED_VALUE"""),2447.0)</f>
        <v>2447</v>
      </c>
    </row>
    <row r="150">
      <c r="A150">
        <f t="shared" si="1"/>
        <v>2448</v>
      </c>
      <c r="B150" s="108" t="str">
        <f>IFERROR(__xludf.DUMMYFUNCTION("""COMPUTED_VALUE"""),"DM")</f>
        <v>DM</v>
      </c>
      <c r="C150">
        <f>IFERROR(__xludf.DUMMYFUNCTION("""COMPUTED_VALUE"""),2448.0)</f>
        <v>2448</v>
      </c>
    </row>
    <row r="151">
      <c r="A151">
        <f t="shared" si="1"/>
        <v>2449</v>
      </c>
      <c r="B151" s="108" t="str">
        <f>IFERROR(__xludf.DUMMYFUNCTION("""COMPUTED_VALUE"""),"DM")</f>
        <v>DM</v>
      </c>
      <c r="C151">
        <f>IFERROR(__xludf.DUMMYFUNCTION("""COMPUTED_VALUE"""),2449.0)</f>
        <v>2449</v>
      </c>
    </row>
    <row r="152">
      <c r="A152">
        <f t="shared" si="1"/>
        <v>2450</v>
      </c>
      <c r="B152" s="108" t="str">
        <f>IFERROR(__xludf.DUMMYFUNCTION("""COMPUTED_VALUE"""),"DM")</f>
        <v>DM</v>
      </c>
      <c r="C152">
        <f>IFERROR(__xludf.DUMMYFUNCTION("""COMPUTED_VALUE"""),2450.0)</f>
        <v>2450</v>
      </c>
    </row>
    <row r="153">
      <c r="A153">
        <f t="shared" si="1"/>
        <v>2451</v>
      </c>
      <c r="B153" s="108" t="str">
        <f>IFERROR(__xludf.DUMMYFUNCTION("""COMPUTED_VALUE"""),"CS")</f>
        <v>CS</v>
      </c>
      <c r="C153">
        <f>IFERROR(__xludf.DUMMYFUNCTION("""COMPUTED_VALUE"""),2451.0)</f>
        <v>2451</v>
      </c>
    </row>
    <row r="154">
      <c r="A154">
        <f t="shared" si="1"/>
        <v>2452</v>
      </c>
      <c r="B154" s="108" t="str">
        <f>IFERROR(__xludf.DUMMYFUNCTION("""COMPUTED_VALUE"""),"TB")</f>
        <v>TB</v>
      </c>
      <c r="C154">
        <f>IFERROR(__xludf.DUMMYFUNCTION("""COMPUTED_VALUE"""),2452.0)</f>
        <v>2452</v>
      </c>
    </row>
    <row r="155">
      <c r="A155">
        <f t="shared" si="1"/>
        <v>2453</v>
      </c>
      <c r="B155" s="108" t="str">
        <f>IFERROR(__xludf.DUMMYFUNCTION("""COMPUTED_VALUE"""),"DM")</f>
        <v>DM</v>
      </c>
      <c r="C155">
        <f>IFERROR(__xludf.DUMMYFUNCTION("""COMPUTED_VALUE"""),2453.0)</f>
        <v>2453</v>
      </c>
    </row>
    <row r="156">
      <c r="A156">
        <f t="shared" si="1"/>
        <v>2454</v>
      </c>
      <c r="B156" s="108" t="str">
        <f>IFERROR(__xludf.DUMMYFUNCTION("""COMPUTED_VALUE"""),"CS")</f>
        <v>CS</v>
      </c>
      <c r="C156">
        <f>IFERROR(__xludf.DUMMYFUNCTION("""COMPUTED_VALUE"""),2454.0)</f>
        <v>2454</v>
      </c>
    </row>
    <row r="157">
      <c r="A157">
        <f t="shared" si="1"/>
        <v>2455</v>
      </c>
      <c r="B157" s="108" t="str">
        <f>IFERROR(__xludf.DUMMYFUNCTION("""COMPUTED_VALUE"""),"CS")</f>
        <v>CS</v>
      </c>
      <c r="C157">
        <f>IFERROR(__xludf.DUMMYFUNCTION("""COMPUTED_VALUE"""),2455.0)</f>
        <v>2455</v>
      </c>
    </row>
    <row r="158">
      <c r="A158">
        <f t="shared" si="1"/>
        <v>2456</v>
      </c>
      <c r="B158" s="108" t="str">
        <f>IFERROR(__xludf.DUMMYFUNCTION("""COMPUTED_VALUE"""),"DM")</f>
        <v>DM</v>
      </c>
      <c r="C158">
        <f>IFERROR(__xludf.DUMMYFUNCTION("""COMPUTED_VALUE"""),2456.0)</f>
        <v>2456</v>
      </c>
    </row>
    <row r="159">
      <c r="A159">
        <f t="shared" si="1"/>
        <v>2457</v>
      </c>
      <c r="B159" s="108" t="str">
        <f>IFERROR(__xludf.DUMMYFUNCTION("""COMPUTED_VALUE"""),"CS")</f>
        <v>CS</v>
      </c>
      <c r="C159">
        <f>IFERROR(__xludf.DUMMYFUNCTION("""COMPUTED_VALUE"""),2457.0)</f>
        <v>2457</v>
      </c>
    </row>
    <row r="160">
      <c r="A160">
        <f t="shared" si="1"/>
        <v>2458</v>
      </c>
      <c r="B160" s="108" t="str">
        <f>IFERROR(__xludf.DUMMYFUNCTION("""COMPUTED_VALUE"""),"CS")</f>
        <v>CS</v>
      </c>
      <c r="C160">
        <f>IFERROR(__xludf.DUMMYFUNCTION("""COMPUTED_VALUE"""),2458.0)</f>
        <v>2458</v>
      </c>
    </row>
    <row r="161">
      <c r="A161">
        <f t="shared" si="1"/>
        <v>2459</v>
      </c>
      <c r="B161" s="108" t="str">
        <f>IFERROR(__xludf.DUMMYFUNCTION("""COMPUTED_VALUE"""),"DM")</f>
        <v>DM</v>
      </c>
      <c r="C161">
        <f>IFERROR(__xludf.DUMMYFUNCTION("""COMPUTED_VALUE"""),2459.0)</f>
        <v>2459</v>
      </c>
    </row>
    <row r="162">
      <c r="A162">
        <f t="shared" si="1"/>
        <v>2460</v>
      </c>
      <c r="B162" s="108" t="str">
        <f>IFERROR(__xludf.DUMMYFUNCTION("""COMPUTED_VALUE"""),"DM")</f>
        <v>DM</v>
      </c>
      <c r="C162">
        <f>IFERROR(__xludf.DUMMYFUNCTION("""COMPUTED_VALUE"""),2460.0)</f>
        <v>2460</v>
      </c>
    </row>
    <row r="163">
      <c r="A163">
        <f t="shared" si="1"/>
        <v>2461</v>
      </c>
      <c r="B163" s="108" t="str">
        <f>IFERROR(__xludf.DUMMYFUNCTION("""COMPUTED_VALUE"""),"CS")</f>
        <v>CS</v>
      </c>
      <c r="C163">
        <f>IFERROR(__xludf.DUMMYFUNCTION("""COMPUTED_VALUE"""),2461.0)</f>
        <v>2461</v>
      </c>
    </row>
    <row r="164">
      <c r="A164">
        <f t="shared" si="1"/>
        <v>2462</v>
      </c>
      <c r="B164" s="108" t="str">
        <f>IFERROR(__xludf.DUMMYFUNCTION("""COMPUTED_VALUE"""),"DM")</f>
        <v>DM</v>
      </c>
      <c r="C164">
        <f>IFERROR(__xludf.DUMMYFUNCTION("""COMPUTED_VALUE"""),2462.0)</f>
        <v>2462</v>
      </c>
    </row>
    <row r="165">
      <c r="A165">
        <f t="shared" si="1"/>
        <v>2463</v>
      </c>
      <c r="B165" s="108" t="str">
        <f>IFERROR(__xludf.DUMMYFUNCTION("""COMPUTED_VALUE"""),"DM")</f>
        <v>DM</v>
      </c>
      <c r="C165">
        <f>IFERROR(__xludf.DUMMYFUNCTION("""COMPUTED_VALUE"""),2463.0)</f>
        <v>2463</v>
      </c>
    </row>
    <row r="166">
      <c r="A166">
        <f t="shared" si="1"/>
        <v>2464</v>
      </c>
      <c r="B166" s="108" t="str">
        <f>IFERROR(__xludf.DUMMYFUNCTION("""COMPUTED_VALUE"""),"CS")</f>
        <v>CS</v>
      </c>
      <c r="C166">
        <f>IFERROR(__xludf.DUMMYFUNCTION("""COMPUTED_VALUE"""),2464.0)</f>
        <v>2464</v>
      </c>
    </row>
    <row r="167">
      <c r="A167">
        <f t="shared" si="1"/>
        <v>2465</v>
      </c>
      <c r="B167" s="108" t="str">
        <f>IFERROR(__xludf.DUMMYFUNCTION("""COMPUTED_VALUE"""),"DM")</f>
        <v>DM</v>
      </c>
      <c r="C167">
        <f>IFERROR(__xludf.DUMMYFUNCTION("""COMPUTED_VALUE"""),2465.0)</f>
        <v>2465</v>
      </c>
    </row>
    <row r="168">
      <c r="A168">
        <f t="shared" si="1"/>
        <v>2466</v>
      </c>
      <c r="B168" s="108" t="str">
        <f>IFERROR(__xludf.DUMMYFUNCTION("""COMPUTED_VALUE"""),"CS")</f>
        <v>CS</v>
      </c>
      <c r="C168">
        <f>IFERROR(__xludf.DUMMYFUNCTION("""COMPUTED_VALUE"""),2466.0)</f>
        <v>2466</v>
      </c>
    </row>
    <row r="169">
      <c r="A169">
        <f t="shared" si="1"/>
        <v>2467</v>
      </c>
      <c r="B169" s="108" t="str">
        <f>IFERROR(__xludf.DUMMYFUNCTION("""COMPUTED_VALUE"""),"NGC")</f>
        <v>NGC</v>
      </c>
      <c r="C169">
        <f>IFERROR(__xludf.DUMMYFUNCTION("""COMPUTED_VALUE"""),2467.0)</f>
        <v>2467</v>
      </c>
    </row>
    <row r="170">
      <c r="A170">
        <f t="shared" si="1"/>
        <v>2468</v>
      </c>
      <c r="B170" s="108" t="str">
        <f>IFERROR(__xludf.DUMMYFUNCTION("""COMPUTED_VALUE"""),"DM")</f>
        <v>DM</v>
      </c>
      <c r="C170">
        <f>IFERROR(__xludf.DUMMYFUNCTION("""COMPUTED_VALUE"""),2468.0)</f>
        <v>2468</v>
      </c>
    </row>
    <row r="171">
      <c r="A171">
        <f t="shared" si="1"/>
        <v>2469</v>
      </c>
      <c r="B171" s="108" t="str">
        <f>IFERROR(__xludf.DUMMYFUNCTION("""COMPUTED_VALUE"""),"DM")</f>
        <v>DM</v>
      </c>
      <c r="C171">
        <f>IFERROR(__xludf.DUMMYFUNCTION("""COMPUTED_VALUE"""),2469.0)</f>
        <v>2469</v>
      </c>
    </row>
    <row r="172">
      <c r="A172">
        <f t="shared" si="1"/>
        <v>2470</v>
      </c>
      <c r="B172" s="108" t="str">
        <f>IFERROR(__xludf.DUMMYFUNCTION("""COMPUTED_VALUE"""),"DM")</f>
        <v>DM</v>
      </c>
      <c r="C172">
        <f>IFERROR(__xludf.DUMMYFUNCTION("""COMPUTED_VALUE"""),2470.0)</f>
        <v>2470</v>
      </c>
    </row>
    <row r="173">
      <c r="A173">
        <f t="shared" si="1"/>
        <v>2471</v>
      </c>
      <c r="B173" s="108" t="str">
        <f>IFERROR(__xludf.DUMMYFUNCTION("""COMPUTED_VALUE"""),"DM")</f>
        <v>DM</v>
      </c>
      <c r="C173">
        <f>IFERROR(__xludf.DUMMYFUNCTION("""COMPUTED_VALUE"""),2471.0)</f>
        <v>2471</v>
      </c>
    </row>
    <row r="174">
      <c r="A174">
        <f t="shared" si="1"/>
        <v>2472</v>
      </c>
      <c r="B174" s="108" t="str">
        <f>IFERROR(__xludf.DUMMYFUNCTION("""COMPUTED_VALUE"""),"DM")</f>
        <v>DM</v>
      </c>
      <c r="C174">
        <f>IFERROR(__xludf.DUMMYFUNCTION("""COMPUTED_VALUE"""),2472.0)</f>
        <v>2472</v>
      </c>
    </row>
    <row r="175">
      <c r="A175">
        <f t="shared" si="1"/>
        <v>2473</v>
      </c>
      <c r="B175" s="108" t="str">
        <f>IFERROR(__xludf.DUMMYFUNCTION("""COMPUTED_VALUE"""),"NGC")</f>
        <v>NGC</v>
      </c>
      <c r="C175">
        <f>IFERROR(__xludf.DUMMYFUNCTION("""COMPUTED_VALUE"""),2473.0)</f>
        <v>2473</v>
      </c>
    </row>
    <row r="176">
      <c r="A176">
        <f t="shared" si="1"/>
        <v>2474</v>
      </c>
      <c r="B176" s="108" t="str">
        <f>IFERROR(__xludf.DUMMYFUNCTION("""COMPUTED_VALUE"""),"NGC")</f>
        <v>NGC</v>
      </c>
      <c r="C176">
        <f>IFERROR(__xludf.DUMMYFUNCTION("""COMPUTED_VALUE"""),2474.0)</f>
        <v>2474</v>
      </c>
    </row>
    <row r="177">
      <c r="A177">
        <f t="shared" si="1"/>
        <v>2475</v>
      </c>
      <c r="B177" s="108" t="str">
        <f>IFERROR(__xludf.DUMMYFUNCTION("""COMPUTED_VALUE"""),"DM")</f>
        <v>DM</v>
      </c>
      <c r="C177">
        <f>IFERROR(__xludf.DUMMYFUNCTION("""COMPUTED_VALUE"""),2475.0)</f>
        <v>2475</v>
      </c>
    </row>
    <row r="178">
      <c r="A178">
        <f t="shared" si="1"/>
        <v>2476</v>
      </c>
      <c r="B178" s="108" t="str">
        <f>IFERROR(__xludf.DUMMYFUNCTION("""COMPUTED_VALUE"""),"DM")</f>
        <v>DM</v>
      </c>
      <c r="C178">
        <f>IFERROR(__xludf.DUMMYFUNCTION("""COMPUTED_VALUE"""),2476.0)</f>
        <v>2476</v>
      </c>
    </row>
    <row r="179">
      <c r="A179">
        <f t="shared" si="1"/>
        <v>2477</v>
      </c>
      <c r="B179" s="108" t="str">
        <f>IFERROR(__xludf.DUMMYFUNCTION("""COMPUTED_VALUE"""),"DM")</f>
        <v>DM</v>
      </c>
      <c r="C179">
        <f>IFERROR(__xludf.DUMMYFUNCTION("""COMPUTED_VALUE"""),2477.0)</f>
        <v>2477</v>
      </c>
    </row>
    <row r="180">
      <c r="A180">
        <f t="shared" si="1"/>
        <v>2478</v>
      </c>
      <c r="B180" s="108" t="str">
        <f>IFERROR(__xludf.DUMMYFUNCTION("""COMPUTED_VALUE"""),"CS")</f>
        <v>CS</v>
      </c>
      <c r="C180">
        <f>IFERROR(__xludf.DUMMYFUNCTION("""COMPUTED_VALUE"""),2478.0)</f>
        <v>2478</v>
      </c>
    </row>
    <row r="181">
      <c r="A181">
        <f t="shared" si="1"/>
        <v>2479</v>
      </c>
      <c r="B181" s="108" t="str">
        <f>IFERROR(__xludf.DUMMYFUNCTION("""COMPUTED_VALUE"""),"DM")</f>
        <v>DM</v>
      </c>
      <c r="C181">
        <f>IFERROR(__xludf.DUMMYFUNCTION("""COMPUTED_VALUE"""),2479.0)</f>
        <v>2479</v>
      </c>
    </row>
    <row r="182">
      <c r="A182">
        <f t="shared" si="1"/>
        <v>2480</v>
      </c>
      <c r="B182" s="108" t="str">
        <f>IFERROR(__xludf.DUMMYFUNCTION("""COMPUTED_VALUE"""),"DM")</f>
        <v>DM</v>
      </c>
      <c r="C182">
        <f>IFERROR(__xludf.DUMMYFUNCTION("""COMPUTED_VALUE"""),2480.0)</f>
        <v>2480</v>
      </c>
    </row>
    <row r="183">
      <c r="A183">
        <f t="shared" si="1"/>
        <v>2481</v>
      </c>
      <c r="B183" s="108" t="str">
        <f>IFERROR(__xludf.DUMMYFUNCTION("""COMPUTED_VALUE"""),"DM")</f>
        <v>DM</v>
      </c>
      <c r="C183">
        <f>IFERROR(__xludf.DUMMYFUNCTION("""COMPUTED_VALUE"""),2481.0)</f>
        <v>2481</v>
      </c>
    </row>
    <row r="184">
      <c r="A184">
        <f t="shared" si="1"/>
        <v>2482</v>
      </c>
      <c r="B184" s="108" t="str">
        <f>IFERROR(__xludf.DUMMYFUNCTION("""COMPUTED_VALUE"""),"NGC")</f>
        <v>NGC</v>
      </c>
      <c r="C184">
        <f>IFERROR(__xludf.DUMMYFUNCTION("""COMPUTED_VALUE"""),2482.0)</f>
        <v>2482</v>
      </c>
    </row>
    <row r="185">
      <c r="A185">
        <f t="shared" si="1"/>
        <v>2483</v>
      </c>
      <c r="B185" s="108" t="str">
        <f>IFERROR(__xludf.DUMMYFUNCTION("""COMPUTED_VALUE"""),"DM")</f>
        <v>DM</v>
      </c>
      <c r="C185">
        <f>IFERROR(__xludf.DUMMYFUNCTION("""COMPUTED_VALUE"""),2483.0)</f>
        <v>2483</v>
      </c>
    </row>
    <row r="186">
      <c r="A186">
        <f t="shared" si="1"/>
        <v>2484</v>
      </c>
      <c r="B186" s="108" t="str">
        <f>IFERROR(__xludf.DUMMYFUNCTION("""COMPUTED_VALUE"""),"DM")</f>
        <v>DM</v>
      </c>
      <c r="C186">
        <f>IFERROR(__xludf.DUMMYFUNCTION("""COMPUTED_VALUE"""),2484.0)</f>
        <v>2484</v>
      </c>
    </row>
    <row r="187">
      <c r="A187">
        <f t="shared" si="1"/>
        <v>2485</v>
      </c>
      <c r="B187" s="108" t="str">
        <f>IFERROR(__xludf.DUMMYFUNCTION("""COMPUTED_VALUE"""),"DM")</f>
        <v>DM</v>
      </c>
      <c r="C187">
        <f>IFERROR(__xludf.DUMMYFUNCTION("""COMPUTED_VALUE"""),2485.0)</f>
        <v>2485</v>
      </c>
    </row>
    <row r="188">
      <c r="A188">
        <f t="shared" si="1"/>
        <v>2486</v>
      </c>
      <c r="B188" s="108" t="str">
        <f>IFERROR(__xludf.DUMMYFUNCTION("""COMPUTED_VALUE"""),"DM")</f>
        <v>DM</v>
      </c>
      <c r="C188">
        <f>IFERROR(__xludf.DUMMYFUNCTION("""COMPUTED_VALUE"""),2486.0)</f>
        <v>2486</v>
      </c>
    </row>
    <row r="189">
      <c r="A189">
        <f t="shared" si="1"/>
        <v>2487</v>
      </c>
      <c r="B189" s="108" t="str">
        <f>IFERROR(__xludf.DUMMYFUNCTION("""COMPUTED_VALUE"""),"CS")</f>
        <v>CS</v>
      </c>
      <c r="C189">
        <f>IFERROR(__xludf.DUMMYFUNCTION("""COMPUTED_VALUE"""),2487.0)</f>
        <v>2487</v>
      </c>
    </row>
    <row r="190">
      <c r="A190">
        <f t="shared" si="1"/>
        <v>2488</v>
      </c>
      <c r="B190" s="108" t="str">
        <f>IFERROR(__xludf.DUMMYFUNCTION("""COMPUTED_VALUE"""),"CS")</f>
        <v>CS</v>
      </c>
      <c r="C190">
        <f>IFERROR(__xludf.DUMMYFUNCTION("""COMPUTED_VALUE"""),2488.0)</f>
        <v>2488</v>
      </c>
    </row>
    <row r="191">
      <c r="A191">
        <f t="shared" si="1"/>
        <v>2489</v>
      </c>
      <c r="B191" s="108" t="str">
        <f>IFERROR(__xludf.DUMMYFUNCTION("""COMPUTED_VALUE"""),"TB")</f>
        <v>TB</v>
      </c>
      <c r="C191">
        <f>IFERROR(__xludf.DUMMYFUNCTION("""COMPUTED_VALUE"""),2489.0)</f>
        <v>2489</v>
      </c>
    </row>
    <row r="192">
      <c r="A192">
        <f t="shared" si="1"/>
        <v>2490</v>
      </c>
      <c r="B192" s="108" t="str">
        <f>IFERROR(__xludf.DUMMYFUNCTION("""COMPUTED_VALUE"""),"CS")</f>
        <v>CS</v>
      </c>
      <c r="C192">
        <f>IFERROR(__xludf.DUMMYFUNCTION("""COMPUTED_VALUE"""),2490.0)</f>
        <v>2490</v>
      </c>
    </row>
    <row r="193">
      <c r="A193">
        <f t="shared" si="1"/>
        <v>2491</v>
      </c>
      <c r="B193" s="108" t="str">
        <f>IFERROR(__xludf.DUMMYFUNCTION("""COMPUTED_VALUE"""),"DM")</f>
        <v>DM</v>
      </c>
      <c r="C193">
        <f>IFERROR(__xludf.DUMMYFUNCTION("""COMPUTED_VALUE"""),2491.0)</f>
        <v>2491</v>
      </c>
    </row>
    <row r="194">
      <c r="A194">
        <f t="shared" si="1"/>
        <v>2492</v>
      </c>
      <c r="B194" s="108" t="str">
        <f>IFERROR(__xludf.DUMMYFUNCTION("""COMPUTED_VALUE"""),"CS")</f>
        <v>CS</v>
      </c>
      <c r="C194">
        <f>IFERROR(__xludf.DUMMYFUNCTION("""COMPUTED_VALUE"""),2492.0)</f>
        <v>2492</v>
      </c>
    </row>
    <row r="195">
      <c r="A195">
        <f t="shared" si="1"/>
        <v>2493</v>
      </c>
      <c r="B195" s="108" t="str">
        <f>IFERROR(__xludf.DUMMYFUNCTION("""COMPUTED_VALUE"""),"CS")</f>
        <v>CS</v>
      </c>
      <c r="C195">
        <f>IFERROR(__xludf.DUMMYFUNCTION("""COMPUTED_VALUE"""),2493.0)</f>
        <v>2493</v>
      </c>
    </row>
    <row r="196">
      <c r="A196">
        <f t="shared" si="1"/>
        <v>2494</v>
      </c>
      <c r="B196" s="108" t="str">
        <f>IFERROR(__xludf.DUMMYFUNCTION("""COMPUTED_VALUE"""),"DM")</f>
        <v>DM</v>
      </c>
      <c r="C196">
        <f>IFERROR(__xludf.DUMMYFUNCTION("""COMPUTED_VALUE"""),2494.0)</f>
        <v>2494</v>
      </c>
    </row>
    <row r="197">
      <c r="A197">
        <f t="shared" si="1"/>
        <v>2495</v>
      </c>
      <c r="B197" s="108" t="str">
        <f>IFERROR(__xludf.DUMMYFUNCTION("""COMPUTED_VALUE"""),"DM")</f>
        <v>DM</v>
      </c>
      <c r="C197">
        <f>IFERROR(__xludf.DUMMYFUNCTION("""COMPUTED_VALUE"""),2495.0)</f>
        <v>2495</v>
      </c>
    </row>
    <row r="198">
      <c r="A198">
        <f t="shared" si="1"/>
        <v>2496</v>
      </c>
      <c r="B198" s="108" t="str">
        <f>IFERROR(__xludf.DUMMYFUNCTION("""COMPUTED_VALUE"""),"DM")</f>
        <v>DM</v>
      </c>
      <c r="C198">
        <f>IFERROR(__xludf.DUMMYFUNCTION("""COMPUTED_VALUE"""),2496.0)</f>
        <v>2496</v>
      </c>
    </row>
    <row r="199">
      <c r="A199">
        <f t="shared" si="1"/>
        <v>2497</v>
      </c>
      <c r="B199" s="108" t="str">
        <f>IFERROR(__xludf.DUMMYFUNCTION("""COMPUTED_VALUE"""),"CS")</f>
        <v>CS</v>
      </c>
      <c r="C199">
        <f>IFERROR(__xludf.DUMMYFUNCTION("""COMPUTED_VALUE"""),2497.0)</f>
        <v>2497</v>
      </c>
    </row>
    <row r="200">
      <c r="A200">
        <f t="shared" si="1"/>
        <v>2498</v>
      </c>
      <c r="B200" s="108" t="str">
        <f>IFERROR(__xludf.DUMMYFUNCTION("""COMPUTED_VALUE"""),"DM")</f>
        <v>DM</v>
      </c>
      <c r="C200">
        <f>IFERROR(__xludf.DUMMYFUNCTION("""COMPUTED_VALUE"""),2498.0)</f>
        <v>2498</v>
      </c>
    </row>
    <row r="201">
      <c r="A201">
        <f t="shared" si="1"/>
        <v>2499</v>
      </c>
      <c r="B201" s="108" t="str">
        <f>IFERROR(__xludf.DUMMYFUNCTION("""COMPUTED_VALUE"""),"DM")</f>
        <v>DM</v>
      </c>
      <c r="C201">
        <f>IFERROR(__xludf.DUMMYFUNCTION("""COMPUTED_VALUE"""),2499.0)</f>
        <v>2499</v>
      </c>
    </row>
    <row r="202">
      <c r="A202">
        <f t="shared" si="1"/>
        <v>2500</v>
      </c>
      <c r="B202" s="108" t="str">
        <f>IFERROR(__xludf.DUMMYFUNCTION("""COMPUTED_VALUE"""),"DM")</f>
        <v>DM</v>
      </c>
      <c r="C202">
        <f>IFERROR(__xludf.DUMMYFUNCTION("""COMPUTED_VALUE"""),2500.0)</f>
        <v>2500</v>
      </c>
    </row>
    <row r="203">
      <c r="A203">
        <f t="shared" si="1"/>
        <v>2501</v>
      </c>
      <c r="B203" s="108" t="str">
        <f>IFERROR(__xludf.DUMMYFUNCTION("""COMPUTED_VALUE"""),"DM")</f>
        <v>DM</v>
      </c>
      <c r="C203">
        <f>IFERROR(__xludf.DUMMYFUNCTION("""COMPUTED_VALUE"""),2501.0)</f>
        <v>2501</v>
      </c>
    </row>
    <row r="204">
      <c r="A204">
        <f t="shared" si="1"/>
        <v>2502</v>
      </c>
      <c r="B204" s="108" t="str">
        <f>IFERROR(__xludf.DUMMYFUNCTION("""COMPUTED_VALUE"""),"DM")</f>
        <v>DM</v>
      </c>
      <c r="C204">
        <f>IFERROR(__xludf.DUMMYFUNCTION("""COMPUTED_VALUE"""),2502.0)</f>
        <v>2502</v>
      </c>
    </row>
    <row r="205">
      <c r="A205">
        <f t="shared" si="1"/>
        <v>2503</v>
      </c>
      <c r="B205" s="108" t="str">
        <f>IFERROR(__xludf.DUMMYFUNCTION("""COMPUTED_VALUE"""),"DM")</f>
        <v>DM</v>
      </c>
      <c r="C205">
        <f>IFERROR(__xludf.DUMMYFUNCTION("""COMPUTED_VALUE"""),2503.0)</f>
        <v>2503</v>
      </c>
    </row>
    <row r="206">
      <c r="A206">
        <f t="shared" si="1"/>
        <v>2504</v>
      </c>
      <c r="B206" s="108" t="str">
        <f>IFERROR(__xludf.DUMMYFUNCTION("""COMPUTED_VALUE"""),"DM")</f>
        <v>DM</v>
      </c>
      <c r="C206">
        <f>IFERROR(__xludf.DUMMYFUNCTION("""COMPUTED_VALUE"""),2504.0)</f>
        <v>2504</v>
      </c>
    </row>
    <row r="207">
      <c r="A207">
        <f t="shared" si="1"/>
        <v>2505</v>
      </c>
      <c r="B207" s="108" t="str">
        <f>IFERROR(__xludf.DUMMYFUNCTION("""COMPUTED_VALUE"""),"DM")</f>
        <v>DM</v>
      </c>
      <c r="C207">
        <f>IFERROR(__xludf.DUMMYFUNCTION("""COMPUTED_VALUE"""),2505.0)</f>
        <v>2505</v>
      </c>
    </row>
    <row r="208">
      <c r="A208">
        <f t="shared" si="1"/>
        <v>2506</v>
      </c>
      <c r="B208" s="108" t="str">
        <f>IFERROR(__xludf.DUMMYFUNCTION("""COMPUTED_VALUE"""),"DM")</f>
        <v>DM</v>
      </c>
      <c r="C208">
        <f>IFERROR(__xludf.DUMMYFUNCTION("""COMPUTED_VALUE"""),2506.0)</f>
        <v>2506</v>
      </c>
    </row>
    <row r="209">
      <c r="A209">
        <f t="shared" si="1"/>
        <v>2507</v>
      </c>
      <c r="B209" s="108" t="str">
        <f>IFERROR(__xludf.DUMMYFUNCTION("""COMPUTED_VALUE"""),"DM")</f>
        <v>DM</v>
      </c>
      <c r="C209">
        <f>IFERROR(__xludf.DUMMYFUNCTION("""COMPUTED_VALUE"""),2507.0)</f>
        <v>2507</v>
      </c>
    </row>
    <row r="210">
      <c r="A210">
        <f t="shared" si="1"/>
        <v>2508</v>
      </c>
      <c r="B210" s="108" t="str">
        <f>IFERROR(__xludf.DUMMYFUNCTION("""COMPUTED_VALUE"""),"DM")</f>
        <v>DM</v>
      </c>
      <c r="C210">
        <f>IFERROR(__xludf.DUMMYFUNCTION("""COMPUTED_VALUE"""),2508.0)</f>
        <v>2508</v>
      </c>
    </row>
    <row r="211">
      <c r="A211">
        <f t="shared" si="1"/>
        <v>2509</v>
      </c>
      <c r="B211" s="108" t="str">
        <f>IFERROR(__xludf.DUMMYFUNCTION("""COMPUTED_VALUE"""),"DM")</f>
        <v>DM</v>
      </c>
      <c r="C211">
        <f>IFERROR(__xludf.DUMMYFUNCTION("""COMPUTED_VALUE"""),2509.0)</f>
        <v>2509</v>
      </c>
    </row>
    <row r="212">
      <c r="A212">
        <f t="shared" si="1"/>
        <v>2510</v>
      </c>
      <c r="B212" s="108" t="str">
        <f>IFERROR(__xludf.DUMMYFUNCTION("""COMPUTED_VALUE"""),"DM")</f>
        <v>DM</v>
      </c>
      <c r="C212">
        <f>IFERROR(__xludf.DUMMYFUNCTION("""COMPUTED_VALUE"""),2510.0)</f>
        <v>2510</v>
      </c>
    </row>
    <row r="213">
      <c r="A213">
        <f t="shared" si="1"/>
        <v>2511</v>
      </c>
      <c r="B213" s="108" t="str">
        <f>IFERROR(__xludf.DUMMYFUNCTION("""COMPUTED_VALUE"""),"DM")</f>
        <v>DM</v>
      </c>
      <c r="C213">
        <f>IFERROR(__xludf.DUMMYFUNCTION("""COMPUTED_VALUE"""),2511.0)</f>
        <v>2511</v>
      </c>
    </row>
    <row r="214">
      <c r="A214">
        <f t="shared" si="1"/>
        <v>2512</v>
      </c>
      <c r="B214" s="108" t="str">
        <f>IFERROR(__xludf.DUMMYFUNCTION("""COMPUTED_VALUE"""),"DM")</f>
        <v>DM</v>
      </c>
      <c r="C214">
        <f>IFERROR(__xludf.DUMMYFUNCTION("""COMPUTED_VALUE"""),2512.0)</f>
        <v>2512</v>
      </c>
    </row>
    <row r="215">
      <c r="A215">
        <f t="shared" si="1"/>
        <v>2513</v>
      </c>
      <c r="B215" s="108" t="str">
        <f>IFERROR(__xludf.DUMMYFUNCTION("""COMPUTED_VALUE"""),"DM")</f>
        <v>DM</v>
      </c>
      <c r="C215">
        <f>IFERROR(__xludf.DUMMYFUNCTION("""COMPUTED_VALUE"""),2513.0)</f>
        <v>2513</v>
      </c>
    </row>
    <row r="216">
      <c r="A216">
        <f t="shared" si="1"/>
        <v>2514</v>
      </c>
      <c r="B216" s="108" t="str">
        <f>IFERROR(__xludf.DUMMYFUNCTION("""COMPUTED_VALUE"""),"DM")</f>
        <v>DM</v>
      </c>
      <c r="C216">
        <f>IFERROR(__xludf.DUMMYFUNCTION("""COMPUTED_VALUE"""),2514.0)</f>
        <v>2514</v>
      </c>
    </row>
    <row r="217">
      <c r="A217">
        <f t="shared" si="1"/>
        <v>2515</v>
      </c>
      <c r="B217" s="108" t="str">
        <f>IFERROR(__xludf.DUMMYFUNCTION("""COMPUTED_VALUE"""),"DM")</f>
        <v>DM</v>
      </c>
      <c r="C217">
        <f>IFERROR(__xludf.DUMMYFUNCTION("""COMPUTED_VALUE"""),2515.0)</f>
        <v>2515</v>
      </c>
    </row>
    <row r="218">
      <c r="A218">
        <f t="shared" si="1"/>
        <v>2516</v>
      </c>
      <c r="B218" s="108" t="str">
        <f>IFERROR(__xludf.DUMMYFUNCTION("""COMPUTED_VALUE"""),"DM")</f>
        <v>DM</v>
      </c>
      <c r="C218">
        <f>IFERROR(__xludf.DUMMYFUNCTION("""COMPUTED_VALUE"""),2516.0)</f>
        <v>2516</v>
      </c>
    </row>
    <row r="219">
      <c r="A219">
        <f t="shared" si="1"/>
        <v>2517</v>
      </c>
      <c r="B219" s="108" t="str">
        <f>IFERROR(__xludf.DUMMYFUNCTION("""COMPUTED_VALUE"""),"DM")</f>
        <v>DM</v>
      </c>
      <c r="C219">
        <f>IFERROR(__xludf.DUMMYFUNCTION("""COMPUTED_VALUE"""),2517.0)</f>
        <v>2517</v>
      </c>
    </row>
    <row r="220">
      <c r="A220">
        <f t="shared" si="1"/>
        <v>2518</v>
      </c>
      <c r="B220" s="108" t="str">
        <f>IFERROR(__xludf.DUMMYFUNCTION("""COMPUTED_VALUE"""),"DM")</f>
        <v>DM</v>
      </c>
      <c r="C220">
        <f>IFERROR(__xludf.DUMMYFUNCTION("""COMPUTED_VALUE"""),2518.0)</f>
        <v>2518</v>
      </c>
    </row>
    <row r="221">
      <c r="A221">
        <f t="shared" si="1"/>
        <v>2519</v>
      </c>
      <c r="B221" s="108" t="str">
        <f>IFERROR(__xludf.DUMMYFUNCTION("""COMPUTED_VALUE"""),"DM")</f>
        <v>DM</v>
      </c>
      <c r="C221">
        <f>IFERROR(__xludf.DUMMYFUNCTION("""COMPUTED_VALUE"""),2519.0)</f>
        <v>2519</v>
      </c>
    </row>
    <row r="222">
      <c r="A222">
        <f t="shared" si="1"/>
        <v>2520</v>
      </c>
      <c r="B222" s="108" t="str">
        <f>IFERROR(__xludf.DUMMYFUNCTION("""COMPUTED_VALUE"""),"CS")</f>
        <v>CS</v>
      </c>
      <c r="C222">
        <f>IFERROR(__xludf.DUMMYFUNCTION("""COMPUTED_VALUE"""),2520.0)</f>
        <v>2520</v>
      </c>
    </row>
    <row r="223">
      <c r="A223">
        <f t="shared" si="1"/>
        <v>2521</v>
      </c>
      <c r="B223" s="108" t="str">
        <f>IFERROR(__xludf.DUMMYFUNCTION("""COMPUTED_VALUE"""),"DM")</f>
        <v>DM</v>
      </c>
      <c r="C223">
        <f>IFERROR(__xludf.DUMMYFUNCTION("""COMPUTED_VALUE"""),2521.0)</f>
        <v>2521</v>
      </c>
    </row>
    <row r="224">
      <c r="A224">
        <f t="shared" si="1"/>
        <v>2522</v>
      </c>
      <c r="B224" s="108" t="str">
        <f>IFERROR(__xludf.DUMMYFUNCTION("""COMPUTED_VALUE"""),"CS")</f>
        <v>CS</v>
      </c>
      <c r="C224">
        <f>IFERROR(__xludf.DUMMYFUNCTION("""COMPUTED_VALUE"""),2522.0)</f>
        <v>2522</v>
      </c>
    </row>
    <row r="225">
      <c r="A225">
        <f t="shared" si="1"/>
        <v>2523</v>
      </c>
      <c r="B225" s="108" t="str">
        <f>IFERROR(__xludf.DUMMYFUNCTION("""COMPUTED_VALUE"""),"DM")</f>
        <v>DM</v>
      </c>
      <c r="C225">
        <f>IFERROR(__xludf.DUMMYFUNCTION("""COMPUTED_VALUE"""),2523.0)</f>
        <v>2523</v>
      </c>
    </row>
    <row r="226">
      <c r="A226">
        <f t="shared" si="1"/>
        <v>2524</v>
      </c>
      <c r="B226" s="108" t="str">
        <f>IFERROR(__xludf.DUMMYFUNCTION("""COMPUTED_VALUE"""),"DM")</f>
        <v>DM</v>
      </c>
      <c r="C226">
        <f>IFERROR(__xludf.DUMMYFUNCTION("""COMPUTED_VALUE"""),2524.0)</f>
        <v>2524</v>
      </c>
    </row>
    <row r="227">
      <c r="A227">
        <f t="shared" si="1"/>
        <v>2525</v>
      </c>
      <c r="B227" s="108" t="str">
        <f>IFERROR(__xludf.DUMMYFUNCTION("""COMPUTED_VALUE"""),"DM")</f>
        <v>DM</v>
      </c>
      <c r="C227">
        <f>IFERROR(__xludf.DUMMYFUNCTION("""COMPUTED_VALUE"""),2525.0)</f>
        <v>2525</v>
      </c>
    </row>
    <row r="228">
      <c r="A228">
        <f t="shared" si="1"/>
        <v>2526</v>
      </c>
      <c r="B228" s="108" t="str">
        <f>IFERROR(__xludf.DUMMYFUNCTION("""COMPUTED_VALUE"""),"DM")</f>
        <v>DM</v>
      </c>
      <c r="C228">
        <f>IFERROR(__xludf.DUMMYFUNCTION("""COMPUTED_VALUE"""),2526.0)</f>
        <v>2526</v>
      </c>
    </row>
    <row r="229">
      <c r="A229">
        <f t="shared" si="1"/>
        <v>2527</v>
      </c>
      <c r="B229" s="108" t="str">
        <f>IFERROR(__xludf.DUMMYFUNCTION("""COMPUTED_VALUE"""),"DM")</f>
        <v>DM</v>
      </c>
      <c r="C229">
        <f>IFERROR(__xludf.DUMMYFUNCTION("""COMPUTED_VALUE"""),2527.0)</f>
        <v>2527</v>
      </c>
    </row>
    <row r="230">
      <c r="A230">
        <f t="shared" si="1"/>
        <v>2528</v>
      </c>
      <c r="B230" s="108" t="str">
        <f>IFERROR(__xludf.DUMMYFUNCTION("""COMPUTED_VALUE"""),"DM")</f>
        <v>DM</v>
      </c>
      <c r="C230">
        <f>IFERROR(__xludf.DUMMYFUNCTION("""COMPUTED_VALUE"""),2528.0)</f>
        <v>2528</v>
      </c>
    </row>
    <row r="231">
      <c r="A231">
        <f t="shared" si="1"/>
        <v>2529</v>
      </c>
      <c r="B231" s="108" t="str">
        <f>IFERROR(__xludf.DUMMYFUNCTION("""COMPUTED_VALUE"""),"DM")</f>
        <v>DM</v>
      </c>
      <c r="C231">
        <f>IFERROR(__xludf.DUMMYFUNCTION("""COMPUTED_VALUE"""),2529.0)</f>
        <v>2529</v>
      </c>
    </row>
    <row r="232">
      <c r="A232">
        <f t="shared" si="1"/>
        <v>2530</v>
      </c>
      <c r="B232" s="108" t="str">
        <f>IFERROR(__xludf.DUMMYFUNCTION("""COMPUTED_VALUE"""),"DM")</f>
        <v>DM</v>
      </c>
      <c r="C232">
        <f>IFERROR(__xludf.DUMMYFUNCTION("""COMPUTED_VALUE"""),2530.0)</f>
        <v>2530</v>
      </c>
    </row>
    <row r="233">
      <c r="A233">
        <f t="shared" si="1"/>
        <v>2531</v>
      </c>
      <c r="B233" s="108" t="str">
        <f>IFERROR(__xludf.DUMMYFUNCTION("""COMPUTED_VALUE"""),"DM")</f>
        <v>DM</v>
      </c>
      <c r="C233">
        <f>IFERROR(__xludf.DUMMYFUNCTION("""COMPUTED_VALUE"""),2531.0)</f>
        <v>2531</v>
      </c>
    </row>
    <row r="234">
      <c r="A234">
        <f t="shared" si="1"/>
        <v>2532</v>
      </c>
      <c r="B234" s="108" t="str">
        <f>IFERROR(__xludf.DUMMYFUNCTION("""COMPUTED_VALUE"""),"NGC")</f>
        <v>NGC</v>
      </c>
      <c r="C234">
        <f>IFERROR(__xludf.DUMMYFUNCTION("""COMPUTED_VALUE"""),2532.0)</f>
        <v>2532</v>
      </c>
    </row>
    <row r="235">
      <c r="A235">
        <f t="shared" si="1"/>
        <v>2533</v>
      </c>
      <c r="B235" s="108" t="str">
        <f>IFERROR(__xludf.DUMMYFUNCTION("""COMPUTED_VALUE"""),"DM")</f>
        <v>DM</v>
      </c>
      <c r="C235">
        <f>IFERROR(__xludf.DUMMYFUNCTION("""COMPUTED_VALUE"""),2533.0)</f>
        <v>2533</v>
      </c>
    </row>
    <row r="236">
      <c r="A236">
        <f t="shared" si="1"/>
        <v>2534</v>
      </c>
      <c r="B236" s="108" t="str">
        <f>IFERROR(__xludf.DUMMYFUNCTION("""COMPUTED_VALUE"""),"DM")</f>
        <v>DM</v>
      </c>
      <c r="C236">
        <f>IFERROR(__xludf.DUMMYFUNCTION("""COMPUTED_VALUE"""),2534.0)</f>
        <v>2534</v>
      </c>
    </row>
    <row r="237">
      <c r="A237">
        <f t="shared" si="1"/>
        <v>2535</v>
      </c>
      <c r="B237" s="108" t="str">
        <f>IFERROR(__xludf.DUMMYFUNCTION("""COMPUTED_VALUE"""),"DM")</f>
        <v>DM</v>
      </c>
      <c r="C237">
        <f>IFERROR(__xludf.DUMMYFUNCTION("""COMPUTED_VALUE"""),2535.0)</f>
        <v>2535</v>
      </c>
    </row>
    <row r="238">
      <c r="A238">
        <f t="shared" si="1"/>
        <v>2536</v>
      </c>
      <c r="B238" s="108" t="str">
        <f>IFERROR(__xludf.DUMMYFUNCTION("""COMPUTED_VALUE"""),"CS")</f>
        <v>CS</v>
      </c>
      <c r="C238">
        <f>IFERROR(__xludf.DUMMYFUNCTION("""COMPUTED_VALUE"""),2536.0)</f>
        <v>2536</v>
      </c>
    </row>
    <row r="239">
      <c r="A239">
        <f t="shared" si="1"/>
        <v>2537</v>
      </c>
      <c r="B239" s="108" t="str">
        <f>IFERROR(__xludf.DUMMYFUNCTION("""COMPUTED_VALUE"""),"DM")</f>
        <v>DM</v>
      </c>
      <c r="C239">
        <f>IFERROR(__xludf.DUMMYFUNCTION("""COMPUTED_VALUE"""),2537.0)</f>
        <v>2537</v>
      </c>
    </row>
    <row r="240">
      <c r="A240">
        <f t="shared" si="1"/>
        <v>2538</v>
      </c>
      <c r="B240" s="108" t="str">
        <f>IFERROR(__xludf.DUMMYFUNCTION("""COMPUTED_VALUE"""),"DM")</f>
        <v>DM</v>
      </c>
      <c r="C240">
        <f>IFERROR(__xludf.DUMMYFUNCTION("""COMPUTED_VALUE"""),2538.0)</f>
        <v>2538</v>
      </c>
    </row>
    <row r="241">
      <c r="A241">
        <f t="shared" si="1"/>
        <v>2539</v>
      </c>
      <c r="B241" s="108" t="str">
        <f>IFERROR(__xludf.DUMMYFUNCTION("""COMPUTED_VALUE"""),"DM")</f>
        <v>DM</v>
      </c>
      <c r="C241">
        <f>IFERROR(__xludf.DUMMYFUNCTION("""COMPUTED_VALUE"""),2539.0)</f>
        <v>2539</v>
      </c>
    </row>
    <row r="242">
      <c r="A242">
        <f t="shared" si="1"/>
        <v>2540</v>
      </c>
      <c r="B242" s="108" t="str">
        <f>IFERROR(__xludf.DUMMYFUNCTION("""COMPUTED_VALUE"""),"CS")</f>
        <v>CS</v>
      </c>
      <c r="C242">
        <f>IFERROR(__xludf.DUMMYFUNCTION("""COMPUTED_VALUE"""),2540.0)</f>
        <v>2540</v>
      </c>
    </row>
    <row r="243">
      <c r="A243">
        <f t="shared" si="1"/>
        <v>2541</v>
      </c>
      <c r="B243" s="108" t="str">
        <f>IFERROR(__xludf.DUMMYFUNCTION("""COMPUTED_VALUE"""),"DM")</f>
        <v>DM</v>
      </c>
      <c r="C243">
        <f>IFERROR(__xludf.DUMMYFUNCTION("""COMPUTED_VALUE"""),2541.0)</f>
        <v>2541</v>
      </c>
    </row>
    <row r="244">
      <c r="A244">
        <f t="shared" si="1"/>
        <v>2542</v>
      </c>
      <c r="B244" s="108" t="str">
        <f>IFERROR(__xludf.DUMMYFUNCTION("""COMPUTED_VALUE"""),"CS")</f>
        <v>CS</v>
      </c>
      <c r="C244">
        <f>IFERROR(__xludf.DUMMYFUNCTION("""COMPUTED_VALUE"""),2542.0)</f>
        <v>2542</v>
      </c>
    </row>
    <row r="245">
      <c r="A245">
        <f t="shared" si="1"/>
        <v>2543</v>
      </c>
      <c r="B245" s="108" t="str">
        <f>IFERROR(__xludf.DUMMYFUNCTION("""COMPUTED_VALUE"""),"DM")</f>
        <v>DM</v>
      </c>
      <c r="C245">
        <f>IFERROR(__xludf.DUMMYFUNCTION("""COMPUTED_VALUE"""),2543.0)</f>
        <v>2543</v>
      </c>
    </row>
    <row r="246">
      <c r="A246">
        <f t="shared" si="1"/>
        <v>2544</v>
      </c>
      <c r="B246" s="108" t="str">
        <f>IFERROR(__xludf.DUMMYFUNCTION("""COMPUTED_VALUE"""),"CS")</f>
        <v>CS</v>
      </c>
      <c r="C246">
        <f>IFERROR(__xludf.DUMMYFUNCTION("""COMPUTED_VALUE"""),2544.0)</f>
        <v>2544</v>
      </c>
    </row>
    <row r="247">
      <c r="A247">
        <f t="shared" si="1"/>
        <v>2545</v>
      </c>
      <c r="B247" s="108" t="str">
        <f>IFERROR(__xludf.DUMMYFUNCTION("""COMPUTED_VALUE"""),"DM")</f>
        <v>DM</v>
      </c>
      <c r="C247">
        <f>IFERROR(__xludf.DUMMYFUNCTION("""COMPUTED_VALUE"""),2545.0)</f>
        <v>2545</v>
      </c>
    </row>
    <row r="248">
      <c r="A248">
        <f t="shared" si="1"/>
        <v>2546</v>
      </c>
      <c r="B248" s="108" t="str">
        <f>IFERROR(__xludf.DUMMYFUNCTION("""COMPUTED_VALUE"""),"DM")</f>
        <v>DM</v>
      </c>
      <c r="C248">
        <f>IFERROR(__xludf.DUMMYFUNCTION("""COMPUTED_VALUE"""),2546.0)</f>
        <v>2546</v>
      </c>
    </row>
    <row r="249">
      <c r="A249">
        <f t="shared" si="1"/>
        <v>2547</v>
      </c>
      <c r="B249" s="108" t="str">
        <f>IFERROR(__xludf.DUMMYFUNCTION("""COMPUTED_VALUE"""),"CS")</f>
        <v>CS</v>
      </c>
      <c r="C249">
        <f>IFERROR(__xludf.DUMMYFUNCTION("""COMPUTED_VALUE"""),2547.0)</f>
        <v>2547</v>
      </c>
    </row>
    <row r="250">
      <c r="A250">
        <f t="shared" si="1"/>
        <v>2548</v>
      </c>
      <c r="B250" s="108" t="str">
        <f>IFERROR(__xludf.DUMMYFUNCTION("""COMPUTED_VALUE"""),"CS")</f>
        <v>CS</v>
      </c>
      <c r="C250">
        <f>IFERROR(__xludf.DUMMYFUNCTION("""COMPUTED_VALUE"""),2548.0)</f>
        <v>2548</v>
      </c>
    </row>
    <row r="251">
      <c r="A251">
        <f t="shared" si="1"/>
        <v>2549</v>
      </c>
      <c r="B251" s="108" t="str">
        <f>IFERROR(__xludf.DUMMYFUNCTION("""COMPUTED_VALUE"""),"CS")</f>
        <v>CS</v>
      </c>
      <c r="C251">
        <f>IFERROR(__xludf.DUMMYFUNCTION("""COMPUTED_VALUE"""),2549.0)</f>
        <v>2549</v>
      </c>
    </row>
    <row r="252">
      <c r="A252">
        <f t="shared" si="1"/>
        <v>2550</v>
      </c>
      <c r="B252" s="108" t="str">
        <f>IFERROR(__xludf.DUMMYFUNCTION("""COMPUTED_VALUE"""),"DM")</f>
        <v>DM</v>
      </c>
      <c r="C252">
        <f>IFERROR(__xludf.DUMMYFUNCTION("""COMPUTED_VALUE"""),2550.0)</f>
        <v>2550</v>
      </c>
    </row>
    <row r="253">
      <c r="A253">
        <f t="shared" si="1"/>
        <v>2551</v>
      </c>
      <c r="B253" s="108" t="str">
        <f>IFERROR(__xludf.DUMMYFUNCTION("""COMPUTED_VALUE"""),"DM")</f>
        <v>DM</v>
      </c>
      <c r="C253">
        <f>IFERROR(__xludf.DUMMYFUNCTION("""COMPUTED_VALUE"""),2551.0)</f>
        <v>2551</v>
      </c>
    </row>
    <row r="254">
      <c r="A254">
        <f t="shared" si="1"/>
        <v>2552</v>
      </c>
      <c r="B254" s="108" t="str">
        <f>IFERROR(__xludf.DUMMYFUNCTION("""COMPUTED_VALUE"""),"DM")</f>
        <v>DM</v>
      </c>
      <c r="C254">
        <f>IFERROR(__xludf.DUMMYFUNCTION("""COMPUTED_VALUE"""),2552.0)</f>
        <v>2552</v>
      </c>
    </row>
    <row r="255">
      <c r="A255">
        <f t="shared" si="1"/>
        <v>2553</v>
      </c>
      <c r="B255" s="108" t="str">
        <f>IFERROR(__xludf.DUMMYFUNCTION("""COMPUTED_VALUE"""),"DM")</f>
        <v>DM</v>
      </c>
      <c r="C255">
        <f>IFERROR(__xludf.DUMMYFUNCTION("""COMPUTED_VALUE"""),2553.0)</f>
        <v>2553</v>
      </c>
    </row>
    <row r="256">
      <c r="A256">
        <f t="shared" si="1"/>
        <v>2554</v>
      </c>
      <c r="B256" s="108" t="str">
        <f>IFERROR(__xludf.DUMMYFUNCTION("""COMPUTED_VALUE"""),"DM")</f>
        <v>DM</v>
      </c>
      <c r="C256">
        <f>IFERROR(__xludf.DUMMYFUNCTION("""COMPUTED_VALUE"""),2554.0)</f>
        <v>2554</v>
      </c>
    </row>
    <row r="257">
      <c r="A257">
        <f t="shared" si="1"/>
        <v>2555</v>
      </c>
      <c r="B257" s="108" t="str">
        <f>IFERROR(__xludf.DUMMYFUNCTION("""COMPUTED_VALUE"""),"DM")</f>
        <v>DM</v>
      </c>
      <c r="C257">
        <f>IFERROR(__xludf.DUMMYFUNCTION("""COMPUTED_VALUE"""),2555.0)</f>
        <v>2555</v>
      </c>
    </row>
    <row r="258">
      <c r="A258">
        <f t="shared" si="1"/>
        <v>2556</v>
      </c>
      <c r="B258" s="108" t="str">
        <f>IFERROR(__xludf.DUMMYFUNCTION("""COMPUTED_VALUE"""),"DM")</f>
        <v>DM</v>
      </c>
      <c r="C258">
        <f>IFERROR(__xludf.DUMMYFUNCTION("""COMPUTED_VALUE"""),2556.0)</f>
        <v>2556</v>
      </c>
    </row>
    <row r="259">
      <c r="A259">
        <f t="shared" si="1"/>
        <v>2557</v>
      </c>
      <c r="B259" s="108" t="str">
        <f>IFERROR(__xludf.DUMMYFUNCTION("""COMPUTED_VALUE"""),"DM")</f>
        <v>DM</v>
      </c>
      <c r="C259">
        <f>IFERROR(__xludf.DUMMYFUNCTION("""COMPUTED_VALUE"""),2557.0)</f>
        <v>2557</v>
      </c>
    </row>
    <row r="260">
      <c r="A260">
        <f t="shared" si="1"/>
        <v>2558</v>
      </c>
      <c r="B260" s="108" t="str">
        <f>IFERROR(__xludf.DUMMYFUNCTION("""COMPUTED_VALUE"""),"DM")</f>
        <v>DM</v>
      </c>
      <c r="C260">
        <f>IFERROR(__xludf.DUMMYFUNCTION("""COMPUTED_VALUE"""),2558.0)</f>
        <v>2558</v>
      </c>
    </row>
    <row r="261">
      <c r="A261">
        <f t="shared" si="1"/>
        <v>2559</v>
      </c>
      <c r="B261" s="108" t="str">
        <f>IFERROR(__xludf.DUMMYFUNCTION("""COMPUTED_VALUE"""),"DM")</f>
        <v>DM</v>
      </c>
      <c r="C261">
        <f>IFERROR(__xludf.DUMMYFUNCTION("""COMPUTED_VALUE"""),2559.0)</f>
        <v>2559</v>
      </c>
    </row>
    <row r="262">
      <c r="A262">
        <f t="shared" si="1"/>
        <v>2560</v>
      </c>
      <c r="B262" s="108" t="str">
        <f>IFERROR(__xludf.DUMMYFUNCTION("""COMPUTED_VALUE"""),"DM")</f>
        <v>DM</v>
      </c>
      <c r="C262">
        <f>IFERROR(__xludf.DUMMYFUNCTION("""COMPUTED_VALUE"""),2560.0)</f>
        <v>2560</v>
      </c>
    </row>
    <row r="263">
      <c r="A263">
        <f t="shared" si="1"/>
        <v>2561</v>
      </c>
      <c r="B263" s="108" t="str">
        <f>IFERROR(__xludf.DUMMYFUNCTION("""COMPUTED_VALUE"""),"DM")</f>
        <v>DM</v>
      </c>
      <c r="C263">
        <f>IFERROR(__xludf.DUMMYFUNCTION("""COMPUTED_VALUE"""),2561.0)</f>
        <v>2561</v>
      </c>
    </row>
    <row r="264">
      <c r="A264">
        <f t="shared" si="1"/>
        <v>2562</v>
      </c>
      <c r="B264" s="108" t="str">
        <f>IFERROR(__xludf.DUMMYFUNCTION("""COMPUTED_VALUE"""),"CS")</f>
        <v>CS</v>
      </c>
      <c r="C264">
        <f>IFERROR(__xludf.DUMMYFUNCTION("""COMPUTED_VALUE"""),2562.0)</f>
        <v>2562</v>
      </c>
    </row>
    <row r="265">
      <c r="A265">
        <f t="shared" si="1"/>
        <v>2563</v>
      </c>
      <c r="B265" s="108" t="str">
        <f>IFERROR(__xludf.DUMMYFUNCTION("""COMPUTED_VALUE"""),"CS")</f>
        <v>CS</v>
      </c>
      <c r="C265">
        <f>IFERROR(__xludf.DUMMYFUNCTION("""COMPUTED_VALUE"""),2563.0)</f>
        <v>2563</v>
      </c>
    </row>
    <row r="266">
      <c r="A266">
        <f t="shared" si="1"/>
        <v>2564</v>
      </c>
      <c r="B266" s="108" t="str">
        <f>IFERROR(__xludf.DUMMYFUNCTION("""COMPUTED_VALUE"""),"DM")</f>
        <v>DM</v>
      </c>
      <c r="C266">
        <f>IFERROR(__xludf.DUMMYFUNCTION("""COMPUTED_VALUE"""),2564.0)</f>
        <v>2564</v>
      </c>
    </row>
    <row r="267">
      <c r="A267">
        <f t="shared" si="1"/>
        <v>2565</v>
      </c>
      <c r="B267" s="108" t="str">
        <f>IFERROR(__xludf.DUMMYFUNCTION("""COMPUTED_VALUE"""),"CS")</f>
        <v>CS</v>
      </c>
      <c r="C267">
        <f>IFERROR(__xludf.DUMMYFUNCTION("""COMPUTED_VALUE"""),2565.0)</f>
        <v>2565</v>
      </c>
    </row>
    <row r="268">
      <c r="A268">
        <f t="shared" si="1"/>
        <v>2566</v>
      </c>
      <c r="B268" s="108" t="str">
        <f>IFERROR(__xludf.DUMMYFUNCTION("""COMPUTED_VALUE"""),"CS")</f>
        <v>CS</v>
      </c>
      <c r="C268">
        <f>IFERROR(__xludf.DUMMYFUNCTION("""COMPUTED_VALUE"""),2566.0)</f>
        <v>2566</v>
      </c>
    </row>
    <row r="269">
      <c r="A269">
        <f t="shared" si="1"/>
        <v>2567</v>
      </c>
      <c r="B269" s="108" t="str">
        <f>IFERROR(__xludf.DUMMYFUNCTION("""COMPUTED_VALUE"""),"DM")</f>
        <v>DM</v>
      </c>
      <c r="C269">
        <f>IFERROR(__xludf.DUMMYFUNCTION("""COMPUTED_VALUE"""),2567.0)</f>
        <v>2567</v>
      </c>
    </row>
    <row r="270">
      <c r="A270">
        <f t="shared" si="1"/>
        <v>2568</v>
      </c>
      <c r="B270" s="108" t="str">
        <f>IFERROR(__xludf.DUMMYFUNCTION("""COMPUTED_VALUE"""),"CS")</f>
        <v>CS</v>
      </c>
      <c r="C270">
        <f>IFERROR(__xludf.DUMMYFUNCTION("""COMPUTED_VALUE"""),2568.0)</f>
        <v>2568</v>
      </c>
    </row>
    <row r="271">
      <c r="A271">
        <f t="shared" si="1"/>
        <v>2569</v>
      </c>
      <c r="B271" s="108" t="str">
        <f>IFERROR(__xludf.DUMMYFUNCTION("""COMPUTED_VALUE"""),"CS")</f>
        <v>CS</v>
      </c>
      <c r="C271">
        <f>IFERROR(__xludf.DUMMYFUNCTION("""COMPUTED_VALUE"""),2569.0)</f>
        <v>2569</v>
      </c>
    </row>
    <row r="272">
      <c r="A272">
        <f t="shared" si="1"/>
        <v>2570</v>
      </c>
      <c r="B272" s="108" t="str">
        <f>IFERROR(__xludf.DUMMYFUNCTION("""COMPUTED_VALUE"""),"DM")</f>
        <v>DM</v>
      </c>
      <c r="C272">
        <f>IFERROR(__xludf.DUMMYFUNCTION("""COMPUTED_VALUE"""),2570.0)</f>
        <v>2570</v>
      </c>
    </row>
    <row r="273">
      <c r="A273">
        <f t="shared" si="1"/>
        <v>2571</v>
      </c>
      <c r="B273" s="108" t="str">
        <f>IFERROR(__xludf.DUMMYFUNCTION("""COMPUTED_VALUE"""),"DM")</f>
        <v>DM</v>
      </c>
      <c r="C273">
        <f>IFERROR(__xludf.DUMMYFUNCTION("""COMPUTED_VALUE"""),2571.0)</f>
        <v>2571</v>
      </c>
    </row>
    <row r="274">
      <c r="A274">
        <f t="shared" si="1"/>
        <v>2572</v>
      </c>
      <c r="B274" s="108" t="str">
        <f>IFERROR(__xludf.DUMMYFUNCTION("""COMPUTED_VALUE"""),"DM")</f>
        <v>DM</v>
      </c>
      <c r="C274">
        <f>IFERROR(__xludf.DUMMYFUNCTION("""COMPUTED_VALUE"""),2572.0)</f>
        <v>2572</v>
      </c>
    </row>
    <row r="275">
      <c r="A275">
        <f t="shared" si="1"/>
        <v>2573</v>
      </c>
      <c r="B275" s="108" t="str">
        <f>IFERROR(__xludf.DUMMYFUNCTION("""COMPUTED_VALUE"""),"CS")</f>
        <v>CS</v>
      </c>
      <c r="C275">
        <f>IFERROR(__xludf.DUMMYFUNCTION("""COMPUTED_VALUE"""),2573.0)</f>
        <v>2573</v>
      </c>
    </row>
    <row r="276">
      <c r="A276">
        <f t="shared" si="1"/>
        <v>2574</v>
      </c>
      <c r="B276" s="108" t="str">
        <f>IFERROR(__xludf.DUMMYFUNCTION("""COMPUTED_VALUE"""),"DM")</f>
        <v>DM</v>
      </c>
      <c r="C276">
        <f>IFERROR(__xludf.DUMMYFUNCTION("""COMPUTED_VALUE"""),2574.0)</f>
        <v>2574</v>
      </c>
    </row>
    <row r="277">
      <c r="A277">
        <f t="shared" si="1"/>
        <v>2575</v>
      </c>
      <c r="B277" s="108" t="str">
        <f>IFERROR(__xludf.DUMMYFUNCTION("""COMPUTED_VALUE"""),"DM")</f>
        <v>DM</v>
      </c>
      <c r="C277">
        <f>IFERROR(__xludf.DUMMYFUNCTION("""COMPUTED_VALUE"""),2575.0)</f>
        <v>2575</v>
      </c>
    </row>
    <row r="278">
      <c r="A278">
        <f t="shared" si="1"/>
        <v>2576</v>
      </c>
      <c r="B278" s="108" t="str">
        <f>IFERROR(__xludf.DUMMYFUNCTION("""COMPUTED_VALUE"""),"CS")</f>
        <v>CS</v>
      </c>
      <c r="C278">
        <f>IFERROR(__xludf.DUMMYFUNCTION("""COMPUTED_VALUE"""),2576.0)</f>
        <v>2576</v>
      </c>
    </row>
    <row r="279">
      <c r="A279">
        <f t="shared" si="1"/>
        <v>2577</v>
      </c>
      <c r="B279" s="108" t="str">
        <f>IFERROR(__xludf.DUMMYFUNCTION("""COMPUTED_VALUE"""),"CS")</f>
        <v>CS</v>
      </c>
      <c r="C279">
        <f>IFERROR(__xludf.DUMMYFUNCTION("""COMPUTED_VALUE"""),2577.0)</f>
        <v>2577</v>
      </c>
    </row>
    <row r="280">
      <c r="A280">
        <f t="shared" si="1"/>
        <v>2578</v>
      </c>
      <c r="B280" s="108" t="str">
        <f>IFERROR(__xludf.DUMMYFUNCTION("""COMPUTED_VALUE"""),"CS")</f>
        <v>CS</v>
      </c>
      <c r="C280">
        <f>IFERROR(__xludf.DUMMYFUNCTION("""COMPUTED_VALUE"""),2578.0)</f>
        <v>2578</v>
      </c>
    </row>
    <row r="281">
      <c r="A281">
        <f t="shared" si="1"/>
        <v>2579</v>
      </c>
      <c r="B281" s="108" t="str">
        <f>IFERROR(__xludf.DUMMYFUNCTION("""COMPUTED_VALUE"""),"CS")</f>
        <v>CS</v>
      </c>
      <c r="C281">
        <f>IFERROR(__xludf.DUMMYFUNCTION("""COMPUTED_VALUE"""),2579.0)</f>
        <v>2579</v>
      </c>
    </row>
    <row r="282">
      <c r="A282">
        <f t="shared" si="1"/>
        <v>2580</v>
      </c>
      <c r="B282" s="108" t="str">
        <f>IFERROR(__xludf.DUMMYFUNCTION("""COMPUTED_VALUE"""),"DM")</f>
        <v>DM</v>
      </c>
      <c r="C282">
        <f>IFERROR(__xludf.DUMMYFUNCTION("""COMPUTED_VALUE"""),2580.0)</f>
        <v>2580</v>
      </c>
    </row>
    <row r="283">
      <c r="A283">
        <f t="shared" si="1"/>
        <v>2581</v>
      </c>
      <c r="B283" s="108" t="str">
        <f>IFERROR(__xludf.DUMMYFUNCTION("""COMPUTED_VALUE"""),"CS")</f>
        <v>CS</v>
      </c>
      <c r="C283">
        <f>IFERROR(__xludf.DUMMYFUNCTION("""COMPUTED_VALUE"""),2581.0)</f>
        <v>2581</v>
      </c>
    </row>
    <row r="284">
      <c r="A284">
        <f t="shared" si="1"/>
        <v>2582</v>
      </c>
      <c r="B284" s="108" t="str">
        <f>IFERROR(__xludf.DUMMYFUNCTION("""COMPUTED_VALUE"""),"CS")</f>
        <v>CS</v>
      </c>
      <c r="C284">
        <f>IFERROR(__xludf.DUMMYFUNCTION("""COMPUTED_VALUE"""),2582.0)</f>
        <v>2582</v>
      </c>
    </row>
    <row r="285">
      <c r="A285">
        <f t="shared" si="1"/>
        <v>2583</v>
      </c>
      <c r="B285" s="108" t="str">
        <f>IFERROR(__xludf.DUMMYFUNCTION("""COMPUTED_VALUE"""),"DM")</f>
        <v>DM</v>
      </c>
      <c r="C285">
        <f>IFERROR(__xludf.DUMMYFUNCTION("""COMPUTED_VALUE"""),2583.0)</f>
        <v>2583</v>
      </c>
    </row>
    <row r="286">
      <c r="A286">
        <f t="shared" si="1"/>
        <v>2584</v>
      </c>
      <c r="B286" s="108" t="str">
        <f>IFERROR(__xludf.DUMMYFUNCTION("""COMPUTED_VALUE"""),"DM")</f>
        <v>DM</v>
      </c>
      <c r="C286">
        <f>IFERROR(__xludf.DUMMYFUNCTION("""COMPUTED_VALUE"""),2584.0)</f>
        <v>2584</v>
      </c>
    </row>
    <row r="287">
      <c r="A287">
        <f t="shared" si="1"/>
        <v>2585</v>
      </c>
      <c r="B287" s="108" t="str">
        <f>IFERROR(__xludf.DUMMYFUNCTION("""COMPUTED_VALUE"""),"DM")</f>
        <v>DM</v>
      </c>
      <c r="C287">
        <f>IFERROR(__xludf.DUMMYFUNCTION("""COMPUTED_VALUE"""),2585.0)</f>
        <v>2585</v>
      </c>
    </row>
    <row r="288">
      <c r="A288">
        <f t="shared" si="1"/>
        <v>2586</v>
      </c>
      <c r="B288" s="108" t="str">
        <f>IFERROR(__xludf.DUMMYFUNCTION("""COMPUTED_VALUE"""),"DM")</f>
        <v>DM</v>
      </c>
      <c r="C288">
        <f>IFERROR(__xludf.DUMMYFUNCTION("""COMPUTED_VALUE"""),2586.0)</f>
        <v>2586</v>
      </c>
    </row>
    <row r="289">
      <c r="A289">
        <f t="shared" si="1"/>
        <v>2587</v>
      </c>
      <c r="B289" s="108" t="str">
        <f>IFERROR(__xludf.DUMMYFUNCTION("""COMPUTED_VALUE"""),"DM")</f>
        <v>DM</v>
      </c>
      <c r="C289">
        <f>IFERROR(__xludf.DUMMYFUNCTION("""COMPUTED_VALUE"""),2587.0)</f>
        <v>2587</v>
      </c>
    </row>
    <row r="290">
      <c r="A290">
        <f t="shared" si="1"/>
        <v>2588</v>
      </c>
      <c r="B290" s="108" t="str">
        <f>IFERROR(__xludf.DUMMYFUNCTION("""COMPUTED_VALUE"""),"DM")</f>
        <v>DM</v>
      </c>
      <c r="C290">
        <f>IFERROR(__xludf.DUMMYFUNCTION("""COMPUTED_VALUE"""),2588.0)</f>
        <v>2588</v>
      </c>
    </row>
    <row r="291">
      <c r="A291">
        <f t="shared" si="1"/>
        <v>2589</v>
      </c>
      <c r="B291" s="108" t="str">
        <f>IFERROR(__xludf.DUMMYFUNCTION("""COMPUTED_VALUE"""),"DM")</f>
        <v>DM</v>
      </c>
      <c r="C291">
        <f>IFERROR(__xludf.DUMMYFUNCTION("""COMPUTED_VALUE"""),2589.0)</f>
        <v>2589</v>
      </c>
    </row>
    <row r="292">
      <c r="A292" t="str">
        <f t="shared" si="1"/>
        <v/>
      </c>
      <c r="C292" t="str">
        <f>IFERROR(__xludf.DUMMYFUNCTION("""COMPUTED_VALUE"""),"")</f>
        <v/>
      </c>
    </row>
    <row r="293">
      <c r="A293" t="str">
        <f t="shared" si="1"/>
        <v/>
      </c>
      <c r="C293" t="str">
        <f>IFERROR(__xludf.DUMMYFUNCTION("""COMPUTED_VALUE"""),"")</f>
        <v/>
      </c>
    </row>
    <row r="294">
      <c r="A294" t="str">
        <f t="shared" si="1"/>
        <v/>
      </c>
      <c r="C294" t="str">
        <f>IFERROR(__xludf.DUMMYFUNCTION("""COMPUTED_VALUE"""),"")</f>
        <v/>
      </c>
    </row>
    <row r="295">
      <c r="A295" t="str">
        <f t="shared" si="1"/>
        <v/>
      </c>
      <c r="C295" t="str">
        <f>IFERROR(__xludf.DUMMYFUNCTION("""COMPUTED_VALUE"""),"")</f>
        <v/>
      </c>
    </row>
    <row r="296">
      <c r="A296" t="str">
        <f t="shared" si="1"/>
        <v/>
      </c>
      <c r="C296" t="str">
        <f>IFERROR(__xludf.DUMMYFUNCTION("""COMPUTED_VALUE"""),"")</f>
        <v/>
      </c>
    </row>
    <row r="297">
      <c r="A297" t="str">
        <f t="shared" si="1"/>
        <v/>
      </c>
      <c r="C297" t="str">
        <f>IFERROR(__xludf.DUMMYFUNCTION("""COMPUTED_VALUE"""),"")</f>
        <v/>
      </c>
    </row>
    <row r="298">
      <c r="A298" t="str">
        <f t="shared" si="1"/>
        <v/>
      </c>
      <c r="C298" t="str">
        <f>IFERROR(__xludf.DUMMYFUNCTION("""COMPUTED_VALUE"""),"")</f>
        <v/>
      </c>
    </row>
    <row r="299">
      <c r="A299" t="str">
        <f t="shared" si="1"/>
        <v/>
      </c>
      <c r="C299" t="str">
        <f>IFERROR(__xludf.DUMMYFUNCTION("""COMPUTED_VALUE"""),"")</f>
        <v/>
      </c>
    </row>
    <row r="300">
      <c r="A300" t="str">
        <f t="shared" si="1"/>
        <v/>
      </c>
      <c r="C300" t="str">
        <f>IFERROR(__xludf.DUMMYFUNCTION("""COMPUTED_VALUE"""),"")</f>
        <v/>
      </c>
    </row>
    <row r="301">
      <c r="A301" t="str">
        <f t="shared" si="1"/>
        <v/>
      </c>
      <c r="C301" t="str">
        <f>IFERROR(__xludf.DUMMYFUNCTION("""COMPUTED_VALUE"""),"")</f>
        <v/>
      </c>
    </row>
    <row r="302">
      <c r="A302" t="str">
        <f t="shared" si="1"/>
        <v/>
      </c>
      <c r="C302" t="str">
        <f>IFERROR(__xludf.DUMMYFUNCTION("""COMPUTED_VALUE"""),"")</f>
        <v/>
      </c>
    </row>
    <row r="303">
      <c r="A303" t="str">
        <f t="shared" si="1"/>
        <v/>
      </c>
      <c r="C303" t="str">
        <f>IFERROR(__xludf.DUMMYFUNCTION("""COMPUTED_VALUE"""),"")</f>
        <v/>
      </c>
    </row>
    <row r="304">
      <c r="A304" t="str">
        <f t="shared" si="1"/>
        <v/>
      </c>
      <c r="C304" t="str">
        <f>IFERROR(__xludf.DUMMYFUNCTION("""COMPUTED_VALUE"""),"")</f>
        <v/>
      </c>
    </row>
    <row r="305">
      <c r="A305" t="str">
        <f t="shared" si="1"/>
        <v/>
      </c>
      <c r="C305" t="str">
        <f>IFERROR(__xludf.DUMMYFUNCTION("""COMPUTED_VALUE"""),"")</f>
        <v/>
      </c>
    </row>
    <row r="306">
      <c r="A306" t="str">
        <f t="shared" si="1"/>
        <v/>
      </c>
      <c r="C306" t="str">
        <f>IFERROR(__xludf.DUMMYFUNCTION("""COMPUTED_VALUE"""),"")</f>
        <v/>
      </c>
    </row>
    <row r="307">
      <c r="A307" t="str">
        <f t="shared" si="1"/>
        <v/>
      </c>
      <c r="C307" t="str">
        <f>IFERROR(__xludf.DUMMYFUNCTION("""COMPUTED_VALUE"""),"")</f>
        <v/>
      </c>
    </row>
    <row r="308">
      <c r="A308" t="str">
        <f t="shared" si="1"/>
        <v/>
      </c>
      <c r="C308" t="str">
        <f>IFERROR(__xludf.DUMMYFUNCTION("""COMPUTED_VALUE"""),"")</f>
        <v/>
      </c>
    </row>
    <row r="309">
      <c r="A309" t="str">
        <f t="shared" si="1"/>
        <v/>
      </c>
      <c r="C309" t="str">
        <f>IFERROR(__xludf.DUMMYFUNCTION("""COMPUTED_VALUE"""),"")</f>
        <v/>
      </c>
    </row>
    <row r="310">
      <c r="A310" t="str">
        <f t="shared" si="1"/>
        <v/>
      </c>
      <c r="C310" t="str">
        <f>IFERROR(__xludf.DUMMYFUNCTION("""COMPUTED_VALUE"""),"")</f>
        <v/>
      </c>
    </row>
    <row r="311">
      <c r="A311" t="str">
        <f t="shared" si="1"/>
        <v/>
      </c>
      <c r="C311" t="str">
        <f>IFERROR(__xludf.DUMMYFUNCTION("""COMPUTED_VALUE"""),"")</f>
        <v/>
      </c>
    </row>
    <row r="312">
      <c r="A312" t="str">
        <f t="shared" si="1"/>
        <v/>
      </c>
      <c r="C312" t="str">
        <f>IFERROR(__xludf.DUMMYFUNCTION("""COMPUTED_VALUE"""),"")</f>
        <v/>
      </c>
    </row>
    <row r="313">
      <c r="A313" t="str">
        <f t="shared" si="1"/>
        <v/>
      </c>
      <c r="C313" t="str">
        <f>IFERROR(__xludf.DUMMYFUNCTION("""COMPUTED_VALUE"""),"")</f>
        <v/>
      </c>
    </row>
    <row r="314">
      <c r="A314" t="str">
        <f t="shared" si="1"/>
        <v/>
      </c>
      <c r="C314" t="str">
        <f>IFERROR(__xludf.DUMMYFUNCTION("""COMPUTED_VALUE"""),"")</f>
        <v/>
      </c>
    </row>
    <row r="315">
      <c r="A315" t="str">
        <f t="shared" si="1"/>
        <v/>
      </c>
      <c r="C315" t="str">
        <f>IFERROR(__xludf.DUMMYFUNCTION("""COMPUTED_VALUE"""),"")</f>
        <v/>
      </c>
    </row>
    <row r="316">
      <c r="A316" t="str">
        <f t="shared" si="1"/>
        <v/>
      </c>
      <c r="C316" t="str">
        <f>IFERROR(__xludf.DUMMYFUNCTION("""COMPUTED_VALUE"""),"")</f>
        <v/>
      </c>
    </row>
    <row r="317">
      <c r="A317" t="str">
        <f t="shared" si="1"/>
        <v/>
      </c>
      <c r="C317" t="str">
        <f>IFERROR(__xludf.DUMMYFUNCTION("""COMPUTED_VALUE"""),"")</f>
        <v/>
      </c>
    </row>
    <row r="318">
      <c r="A318" t="str">
        <f t="shared" si="1"/>
        <v/>
      </c>
      <c r="C318" t="str">
        <f>IFERROR(__xludf.DUMMYFUNCTION("""COMPUTED_VALUE"""),"")</f>
        <v/>
      </c>
    </row>
    <row r="319">
      <c r="A319" t="str">
        <f t="shared" si="1"/>
        <v/>
      </c>
      <c r="C319" t="str">
        <f>IFERROR(__xludf.DUMMYFUNCTION("""COMPUTED_VALUE"""),"")</f>
        <v/>
      </c>
    </row>
    <row r="320">
      <c r="A320" t="str">
        <f t="shared" si="1"/>
        <v/>
      </c>
      <c r="C320" t="str">
        <f>IFERROR(__xludf.DUMMYFUNCTION("""COMPUTED_VALUE"""),"")</f>
        <v/>
      </c>
    </row>
    <row r="321">
      <c r="A321" t="str">
        <f t="shared" si="1"/>
        <v/>
      </c>
      <c r="C321" t="str">
        <f>IFERROR(__xludf.DUMMYFUNCTION("""COMPUTED_VALUE"""),"")</f>
        <v/>
      </c>
    </row>
    <row r="322">
      <c r="A322" t="str">
        <f t="shared" si="1"/>
        <v/>
      </c>
      <c r="C322" t="str">
        <f>IFERROR(__xludf.DUMMYFUNCTION("""COMPUTED_VALUE"""),"")</f>
        <v/>
      </c>
    </row>
    <row r="323">
      <c r="A323" t="str">
        <f t="shared" si="1"/>
        <v/>
      </c>
      <c r="C323" t="str">
        <f>IFERROR(__xludf.DUMMYFUNCTION("""COMPUTED_VALUE"""),"")</f>
        <v/>
      </c>
    </row>
    <row r="324">
      <c r="A324" t="str">
        <f t="shared" si="1"/>
        <v/>
      </c>
      <c r="C324" t="str">
        <f>IFERROR(__xludf.DUMMYFUNCTION("""COMPUTED_VALUE"""),"")</f>
        <v/>
      </c>
    </row>
    <row r="325">
      <c r="A325" t="str">
        <f t="shared" si="1"/>
        <v/>
      </c>
      <c r="C325" t="str">
        <f>IFERROR(__xludf.DUMMYFUNCTION("""COMPUTED_VALUE"""),"")</f>
        <v/>
      </c>
    </row>
    <row r="326">
      <c r="A326" t="str">
        <f t="shared" si="1"/>
        <v/>
      </c>
      <c r="C326" t="str">
        <f>IFERROR(__xludf.DUMMYFUNCTION("""COMPUTED_VALUE"""),"")</f>
        <v/>
      </c>
    </row>
    <row r="327">
      <c r="A327" t="str">
        <f t="shared" si="1"/>
        <v/>
      </c>
      <c r="C327" t="str">
        <f>IFERROR(__xludf.DUMMYFUNCTION("""COMPUTED_VALUE"""),"")</f>
        <v/>
      </c>
    </row>
    <row r="328">
      <c r="A328" t="str">
        <f t="shared" si="1"/>
        <v/>
      </c>
      <c r="C328" t="str">
        <f>IFERROR(__xludf.DUMMYFUNCTION("""COMPUTED_VALUE"""),"")</f>
        <v/>
      </c>
    </row>
    <row r="329">
      <c r="A329" t="str">
        <f t="shared" si="1"/>
        <v/>
      </c>
      <c r="C329" t="str">
        <f>IFERROR(__xludf.DUMMYFUNCTION("""COMPUTED_VALUE"""),"")</f>
        <v/>
      </c>
    </row>
    <row r="330">
      <c r="A330" t="str">
        <f t="shared" si="1"/>
        <v/>
      </c>
      <c r="C330" t="str">
        <f>IFERROR(__xludf.DUMMYFUNCTION("""COMPUTED_VALUE"""),"")</f>
        <v/>
      </c>
    </row>
    <row r="331">
      <c r="A331" t="str">
        <f t="shared" si="1"/>
        <v/>
      </c>
      <c r="C331" t="str">
        <f>IFERROR(__xludf.DUMMYFUNCTION("""COMPUTED_VALUE"""),"")</f>
        <v/>
      </c>
    </row>
    <row r="332">
      <c r="A332" t="str">
        <f t="shared" si="1"/>
        <v/>
      </c>
      <c r="C332" t="str">
        <f>IFERROR(__xludf.DUMMYFUNCTION("""COMPUTED_VALUE"""),"")</f>
        <v/>
      </c>
    </row>
    <row r="333">
      <c r="A333" t="str">
        <f t="shared" si="1"/>
        <v/>
      </c>
      <c r="C333" t="str">
        <f>IFERROR(__xludf.DUMMYFUNCTION("""COMPUTED_VALUE"""),"")</f>
        <v/>
      </c>
    </row>
    <row r="334">
      <c r="A334" t="str">
        <f t="shared" si="1"/>
        <v/>
      </c>
      <c r="C334" t="str">
        <f>IFERROR(__xludf.DUMMYFUNCTION("""COMPUTED_VALUE"""),"")</f>
        <v/>
      </c>
    </row>
    <row r="335">
      <c r="A335" t="str">
        <f t="shared" si="1"/>
        <v/>
      </c>
      <c r="C335" t="str">
        <f>IFERROR(__xludf.DUMMYFUNCTION("""COMPUTED_VALUE"""),"")</f>
        <v/>
      </c>
    </row>
    <row r="336">
      <c r="A336" t="str">
        <f t="shared" si="1"/>
        <v/>
      </c>
      <c r="C336" t="str">
        <f>IFERROR(__xludf.DUMMYFUNCTION("""COMPUTED_VALUE"""),"")</f>
        <v/>
      </c>
    </row>
    <row r="337">
      <c r="A337" t="str">
        <f t="shared" si="1"/>
        <v/>
      </c>
      <c r="C337" t="str">
        <f>IFERROR(__xludf.DUMMYFUNCTION("""COMPUTED_VALUE"""),"")</f>
        <v/>
      </c>
    </row>
    <row r="338">
      <c r="A338" t="str">
        <f t="shared" si="1"/>
        <v/>
      </c>
      <c r="C338" t="str">
        <f>IFERROR(__xludf.DUMMYFUNCTION("""COMPUTED_VALUE"""),"")</f>
        <v/>
      </c>
    </row>
    <row r="339">
      <c r="A339" t="str">
        <f t="shared" si="1"/>
        <v/>
      </c>
      <c r="C339" t="str">
        <f>IFERROR(__xludf.DUMMYFUNCTION("""COMPUTED_VALUE"""),"")</f>
        <v/>
      </c>
    </row>
    <row r="340">
      <c r="A340" t="str">
        <f t="shared" si="1"/>
        <v/>
      </c>
      <c r="C340" t="str">
        <f>IFERROR(__xludf.DUMMYFUNCTION("""COMPUTED_VALUE"""),"")</f>
        <v/>
      </c>
    </row>
    <row r="341">
      <c r="A341" t="str">
        <f t="shared" si="1"/>
        <v/>
      </c>
      <c r="C341" t="str">
        <f>IFERROR(__xludf.DUMMYFUNCTION("""COMPUTED_VALUE"""),"")</f>
        <v/>
      </c>
    </row>
    <row r="342">
      <c r="A342" t="str">
        <f t="shared" si="1"/>
        <v/>
      </c>
      <c r="C342" t="str">
        <f>IFERROR(__xludf.DUMMYFUNCTION("""COMPUTED_VALUE"""),"")</f>
        <v/>
      </c>
    </row>
    <row r="343">
      <c r="A343" t="str">
        <f t="shared" si="1"/>
        <v/>
      </c>
      <c r="C343" t="str">
        <f>IFERROR(__xludf.DUMMYFUNCTION("""COMPUTED_VALUE"""),"")</f>
        <v/>
      </c>
    </row>
    <row r="344">
      <c r="A344" t="str">
        <f t="shared" si="1"/>
        <v/>
      </c>
      <c r="C344" t="str">
        <f>IFERROR(__xludf.DUMMYFUNCTION("""COMPUTED_VALUE"""),"")</f>
        <v/>
      </c>
    </row>
    <row r="345">
      <c r="A345" t="str">
        <f t="shared" si="1"/>
        <v/>
      </c>
      <c r="C345" t="str">
        <f>IFERROR(__xludf.DUMMYFUNCTION("""COMPUTED_VALUE"""),"")</f>
        <v/>
      </c>
    </row>
    <row r="346">
      <c r="A346" t="str">
        <f t="shared" si="1"/>
        <v/>
      </c>
      <c r="C346" t="str">
        <f>IFERROR(__xludf.DUMMYFUNCTION("""COMPUTED_VALUE"""),"")</f>
        <v/>
      </c>
    </row>
    <row r="347">
      <c r="A347" t="str">
        <f t="shared" si="1"/>
        <v/>
      </c>
      <c r="C347" t="str">
        <f>IFERROR(__xludf.DUMMYFUNCTION("""COMPUTED_VALUE"""),"")</f>
        <v/>
      </c>
    </row>
    <row r="348">
      <c r="A348" t="str">
        <f t="shared" si="1"/>
        <v/>
      </c>
      <c r="C348" t="str">
        <f>IFERROR(__xludf.DUMMYFUNCTION("""COMPUTED_VALUE"""),"")</f>
        <v/>
      </c>
    </row>
    <row r="349">
      <c r="A349" t="str">
        <f t="shared" si="1"/>
        <v/>
      </c>
      <c r="C349" t="str">
        <f>IFERROR(__xludf.DUMMYFUNCTION("""COMPUTED_VALUE"""),"")</f>
        <v/>
      </c>
    </row>
    <row r="350">
      <c r="A350" t="str">
        <f t="shared" si="1"/>
        <v/>
      </c>
      <c r="C350" t="str">
        <f>IFERROR(__xludf.DUMMYFUNCTION("""COMPUTED_VALUE"""),"")</f>
        <v/>
      </c>
    </row>
    <row r="351">
      <c r="A351" t="str">
        <f t="shared" si="1"/>
        <v/>
      </c>
      <c r="C351" t="str">
        <f>IFERROR(__xludf.DUMMYFUNCTION("""COMPUTED_VALUE"""),"")</f>
        <v/>
      </c>
    </row>
    <row r="352">
      <c r="A352" t="str">
        <f t="shared" si="1"/>
        <v/>
      </c>
      <c r="C352" t="str">
        <f>IFERROR(__xludf.DUMMYFUNCTION("""COMPUTED_VALUE"""),"")</f>
        <v/>
      </c>
    </row>
    <row r="353">
      <c r="A353" t="str">
        <f t="shared" si="1"/>
        <v/>
      </c>
      <c r="C353" t="str">
        <f>IFERROR(__xludf.DUMMYFUNCTION("""COMPUTED_VALUE"""),"")</f>
        <v/>
      </c>
    </row>
    <row r="354">
      <c r="A354" t="str">
        <f t="shared" si="1"/>
        <v/>
      </c>
      <c r="C354" t="str">
        <f>IFERROR(__xludf.DUMMYFUNCTION("""COMPUTED_VALUE"""),"")</f>
        <v/>
      </c>
    </row>
    <row r="355">
      <c r="A355" t="str">
        <f t="shared" si="1"/>
        <v/>
      </c>
      <c r="C355" t="str">
        <f>IFERROR(__xludf.DUMMYFUNCTION("""COMPUTED_VALUE"""),"")</f>
        <v/>
      </c>
    </row>
    <row r="356">
      <c r="A356" t="str">
        <f t="shared" si="1"/>
        <v/>
      </c>
      <c r="C356" t="str">
        <f>IFERROR(__xludf.DUMMYFUNCTION("""COMPUTED_VALUE"""),"")</f>
        <v/>
      </c>
    </row>
    <row r="357">
      <c r="A357" t="str">
        <f t="shared" si="1"/>
        <v/>
      </c>
      <c r="C357" t="str">
        <f>IFERROR(__xludf.DUMMYFUNCTION("""COMPUTED_VALUE"""),"")</f>
        <v/>
      </c>
    </row>
    <row r="358">
      <c r="A358" t="str">
        <f t="shared" si="1"/>
        <v/>
      </c>
      <c r="C358" t="str">
        <f>IFERROR(__xludf.DUMMYFUNCTION("""COMPUTED_VALUE"""),"")</f>
        <v/>
      </c>
    </row>
    <row r="359">
      <c r="A359" t="str">
        <f t="shared" si="1"/>
        <v/>
      </c>
      <c r="C359" t="str">
        <f>IFERROR(__xludf.DUMMYFUNCTION("""COMPUTED_VALUE"""),"")</f>
        <v/>
      </c>
    </row>
    <row r="360">
      <c r="A360" t="str">
        <f t="shared" si="1"/>
        <v/>
      </c>
      <c r="C360" t="str">
        <f>IFERROR(__xludf.DUMMYFUNCTION("""COMPUTED_VALUE"""),"")</f>
        <v/>
      </c>
    </row>
    <row r="361">
      <c r="A361" t="str">
        <f t="shared" si="1"/>
        <v/>
      </c>
      <c r="C361" t="str">
        <f>IFERROR(__xludf.DUMMYFUNCTION("""COMPUTED_VALUE"""),"")</f>
        <v/>
      </c>
    </row>
    <row r="362">
      <c r="A362" t="str">
        <f t="shared" si="1"/>
        <v/>
      </c>
      <c r="C362" t="str">
        <f>IFERROR(__xludf.DUMMYFUNCTION("""COMPUTED_VALUE"""),"")</f>
        <v/>
      </c>
    </row>
    <row r="363">
      <c r="A363" t="str">
        <f t="shared" si="1"/>
        <v/>
      </c>
      <c r="C363" t="str">
        <f>IFERROR(__xludf.DUMMYFUNCTION("""COMPUTED_VALUE"""),"")</f>
        <v/>
      </c>
    </row>
    <row r="364">
      <c r="A364" t="str">
        <f t="shared" si="1"/>
        <v/>
      </c>
      <c r="C364" t="str">
        <f>IFERROR(__xludf.DUMMYFUNCTION("""COMPUTED_VALUE"""),"")</f>
        <v/>
      </c>
    </row>
    <row r="365">
      <c r="A365" t="str">
        <f t="shared" si="1"/>
        <v/>
      </c>
      <c r="C365" t="str">
        <f>IFERROR(__xludf.DUMMYFUNCTION("""COMPUTED_VALUE"""),"")</f>
        <v/>
      </c>
    </row>
    <row r="366">
      <c r="A366" t="str">
        <f t="shared" si="1"/>
        <v/>
      </c>
      <c r="C366" t="str">
        <f>IFERROR(__xludf.DUMMYFUNCTION("""COMPUTED_VALUE"""),"")</f>
        <v/>
      </c>
    </row>
    <row r="367">
      <c r="A367" t="str">
        <f t="shared" si="1"/>
        <v/>
      </c>
      <c r="C367" t="str">
        <f>IFERROR(__xludf.DUMMYFUNCTION("""COMPUTED_VALUE"""),"")</f>
        <v/>
      </c>
    </row>
    <row r="368">
      <c r="A368" t="str">
        <f t="shared" si="1"/>
        <v/>
      </c>
      <c r="C368" t="str">
        <f>IFERROR(__xludf.DUMMYFUNCTION("""COMPUTED_VALUE"""),"")</f>
        <v/>
      </c>
    </row>
    <row r="369">
      <c r="A369" t="str">
        <f t="shared" si="1"/>
        <v/>
      </c>
      <c r="C369" t="str">
        <f>IFERROR(__xludf.DUMMYFUNCTION("""COMPUTED_VALUE"""),"")</f>
        <v/>
      </c>
    </row>
    <row r="370">
      <c r="A370" t="str">
        <f t="shared" si="1"/>
        <v/>
      </c>
      <c r="C370" t="str">
        <f>IFERROR(__xludf.DUMMYFUNCTION("""COMPUTED_VALUE"""),"")</f>
        <v/>
      </c>
    </row>
    <row r="371">
      <c r="A371" t="str">
        <f t="shared" si="1"/>
        <v/>
      </c>
      <c r="C371" t="str">
        <f>IFERROR(__xludf.DUMMYFUNCTION("""COMPUTED_VALUE"""),"")</f>
        <v/>
      </c>
    </row>
    <row r="372">
      <c r="A372" t="str">
        <f t="shared" si="1"/>
        <v/>
      </c>
      <c r="C372" t="str">
        <f>IFERROR(__xludf.DUMMYFUNCTION("""COMPUTED_VALUE"""),"")</f>
        <v/>
      </c>
    </row>
    <row r="373">
      <c r="A373" t="str">
        <f t="shared" si="1"/>
        <v/>
      </c>
      <c r="C373" t="str">
        <f>IFERROR(__xludf.DUMMYFUNCTION("""COMPUTED_VALUE"""),"")</f>
        <v/>
      </c>
    </row>
    <row r="374">
      <c r="A374" t="str">
        <f t="shared" si="1"/>
        <v/>
      </c>
      <c r="C374" t="str">
        <f>IFERROR(__xludf.DUMMYFUNCTION("""COMPUTED_VALUE"""),"")</f>
        <v/>
      </c>
    </row>
    <row r="375">
      <c r="A375" t="str">
        <f t="shared" si="1"/>
        <v/>
      </c>
      <c r="C375" t="str">
        <f>IFERROR(__xludf.DUMMYFUNCTION("""COMPUTED_VALUE"""),"")</f>
        <v/>
      </c>
    </row>
    <row r="376">
      <c r="A376" t="str">
        <f t="shared" si="1"/>
        <v/>
      </c>
      <c r="C376" t="str">
        <f>IFERROR(__xludf.DUMMYFUNCTION("""COMPUTED_VALUE"""),"")</f>
        <v/>
      </c>
    </row>
    <row r="377">
      <c r="A377" t="str">
        <f t="shared" si="1"/>
        <v/>
      </c>
      <c r="C377" t="str">
        <f>IFERROR(__xludf.DUMMYFUNCTION("""COMPUTED_VALUE"""),"")</f>
        <v/>
      </c>
    </row>
    <row r="378">
      <c r="A378" t="str">
        <f t="shared" si="1"/>
        <v/>
      </c>
      <c r="C378" t="str">
        <f>IFERROR(__xludf.DUMMYFUNCTION("""COMPUTED_VALUE"""),"")</f>
        <v/>
      </c>
    </row>
    <row r="379">
      <c r="A379" t="str">
        <f t="shared" si="1"/>
        <v/>
      </c>
      <c r="C379" t="str">
        <f>IFERROR(__xludf.DUMMYFUNCTION("""COMPUTED_VALUE"""),"")</f>
        <v/>
      </c>
    </row>
    <row r="380">
      <c r="A380" t="str">
        <f t="shared" si="1"/>
        <v/>
      </c>
      <c r="C380" t="str">
        <f>IFERROR(__xludf.DUMMYFUNCTION("""COMPUTED_VALUE"""),"")</f>
        <v/>
      </c>
    </row>
    <row r="381">
      <c r="A381" t="str">
        <f t="shared" si="1"/>
        <v/>
      </c>
      <c r="C381" t="str">
        <f>IFERROR(__xludf.DUMMYFUNCTION("""COMPUTED_VALUE"""),"")</f>
        <v/>
      </c>
    </row>
    <row r="382">
      <c r="A382" t="str">
        <f t="shared" si="1"/>
        <v/>
      </c>
      <c r="C382" t="str">
        <f>IFERROR(__xludf.DUMMYFUNCTION("""COMPUTED_VALUE"""),"")</f>
        <v/>
      </c>
    </row>
    <row r="383">
      <c r="A383" t="str">
        <f t="shared" si="1"/>
        <v/>
      </c>
      <c r="C383" t="str">
        <f>IFERROR(__xludf.DUMMYFUNCTION("""COMPUTED_VALUE"""),"")</f>
        <v/>
      </c>
    </row>
    <row r="384">
      <c r="A384" t="str">
        <f t="shared" si="1"/>
        <v/>
      </c>
      <c r="C384" t="str">
        <f>IFERROR(__xludf.DUMMYFUNCTION("""COMPUTED_VALUE"""),"")</f>
        <v/>
      </c>
    </row>
    <row r="385">
      <c r="A385" t="str">
        <f t="shared" si="1"/>
        <v/>
      </c>
      <c r="C385" t="str">
        <f>IFERROR(__xludf.DUMMYFUNCTION("""COMPUTED_VALUE"""),"")</f>
        <v/>
      </c>
    </row>
    <row r="386">
      <c r="A386" t="str">
        <f t="shared" si="1"/>
        <v/>
      </c>
      <c r="C386" t="str">
        <f>IFERROR(__xludf.DUMMYFUNCTION("""COMPUTED_VALUE"""),"")</f>
        <v/>
      </c>
    </row>
    <row r="387">
      <c r="A387" t="str">
        <f t="shared" si="1"/>
        <v/>
      </c>
      <c r="C387" t="str">
        <f>IFERROR(__xludf.DUMMYFUNCTION("""COMPUTED_VALUE"""),"")</f>
        <v/>
      </c>
    </row>
    <row r="388">
      <c r="A388" t="str">
        <f t="shared" si="1"/>
        <v/>
      </c>
      <c r="C388" t="str">
        <f>IFERROR(__xludf.DUMMYFUNCTION("""COMPUTED_VALUE"""),"")</f>
        <v/>
      </c>
    </row>
    <row r="389">
      <c r="A389" t="str">
        <f t="shared" si="1"/>
        <v/>
      </c>
      <c r="C389" t="str">
        <f>IFERROR(__xludf.DUMMYFUNCTION("""COMPUTED_VALUE"""),"")</f>
        <v/>
      </c>
    </row>
    <row r="390">
      <c r="A390" t="str">
        <f t="shared" si="1"/>
        <v/>
      </c>
      <c r="C390" t="str">
        <f>IFERROR(__xludf.DUMMYFUNCTION("""COMPUTED_VALUE"""),"")</f>
        <v/>
      </c>
    </row>
    <row r="391">
      <c r="A391" t="str">
        <f t="shared" si="1"/>
        <v/>
      </c>
      <c r="C391" t="str">
        <f>IFERROR(__xludf.DUMMYFUNCTION("""COMPUTED_VALUE"""),"")</f>
        <v/>
      </c>
    </row>
    <row r="392">
      <c r="A392" t="str">
        <f t="shared" si="1"/>
        <v/>
      </c>
      <c r="C392" t="str">
        <f>IFERROR(__xludf.DUMMYFUNCTION("""COMPUTED_VALUE"""),"")</f>
        <v/>
      </c>
    </row>
    <row r="393">
      <c r="A393" t="str">
        <f t="shared" si="1"/>
        <v/>
      </c>
      <c r="C393" t="str">
        <f>IFERROR(__xludf.DUMMYFUNCTION("""COMPUTED_VALUE"""),"")</f>
        <v/>
      </c>
    </row>
    <row r="394">
      <c r="A394" t="str">
        <f t="shared" si="1"/>
        <v/>
      </c>
      <c r="C394" t="str">
        <f>IFERROR(__xludf.DUMMYFUNCTION("""COMPUTED_VALUE"""),"")</f>
        <v/>
      </c>
    </row>
    <row r="395">
      <c r="A395" t="str">
        <f t="shared" si="1"/>
        <v/>
      </c>
      <c r="C395" t="str">
        <f>IFERROR(__xludf.DUMMYFUNCTION("""COMPUTED_VALUE"""),"")</f>
        <v/>
      </c>
    </row>
    <row r="396">
      <c r="A396" t="str">
        <f t="shared" si="1"/>
        <v/>
      </c>
      <c r="C396" t="str">
        <f>IFERROR(__xludf.DUMMYFUNCTION("""COMPUTED_VALUE"""),"")</f>
        <v/>
      </c>
    </row>
    <row r="397">
      <c r="A397" t="str">
        <f t="shared" si="1"/>
        <v/>
      </c>
      <c r="C397" t="str">
        <f>IFERROR(__xludf.DUMMYFUNCTION("""COMPUTED_VALUE"""),"")</f>
        <v/>
      </c>
    </row>
    <row r="398">
      <c r="A398" t="str">
        <f t="shared" si="1"/>
        <v/>
      </c>
      <c r="C398" t="str">
        <f>IFERROR(__xludf.DUMMYFUNCTION("""COMPUTED_VALUE"""),"")</f>
        <v/>
      </c>
    </row>
    <row r="399">
      <c r="A399" t="str">
        <f t="shared" si="1"/>
        <v/>
      </c>
      <c r="C399" t="str">
        <f>IFERROR(__xludf.DUMMYFUNCTION("""COMPUTED_VALUE"""),"")</f>
        <v/>
      </c>
    </row>
    <row r="400">
      <c r="A400" t="str">
        <f t="shared" si="1"/>
        <v/>
      </c>
      <c r="C400" t="str">
        <f>IFERROR(__xludf.DUMMYFUNCTION("""COMPUTED_VALUE"""),"")</f>
        <v/>
      </c>
    </row>
    <row r="401">
      <c r="A401" t="str">
        <f t="shared" si="1"/>
        <v/>
      </c>
      <c r="C401" t="str">
        <f>IFERROR(__xludf.DUMMYFUNCTION("""COMPUTED_VALUE"""),"")</f>
        <v/>
      </c>
    </row>
    <row r="402">
      <c r="A402" t="str">
        <f t="shared" si="1"/>
        <v/>
      </c>
      <c r="C402" t="str">
        <f>IFERROR(__xludf.DUMMYFUNCTION("""COMPUTED_VALUE"""),"")</f>
        <v/>
      </c>
    </row>
    <row r="403">
      <c r="A403" t="str">
        <f t="shared" si="1"/>
        <v/>
      </c>
      <c r="C403" t="str">
        <f>IFERROR(__xludf.DUMMYFUNCTION("""COMPUTED_VALUE"""),"")</f>
        <v/>
      </c>
    </row>
    <row r="404">
      <c r="A404" t="str">
        <f t="shared" si="1"/>
        <v/>
      </c>
      <c r="C404" t="str">
        <f>IFERROR(__xludf.DUMMYFUNCTION("""COMPUTED_VALUE"""),"")</f>
        <v/>
      </c>
    </row>
    <row r="405">
      <c r="A405" t="str">
        <f t="shared" si="1"/>
        <v/>
      </c>
      <c r="C405" t="str">
        <f>IFERROR(__xludf.DUMMYFUNCTION("""COMPUTED_VALUE"""),"")</f>
        <v/>
      </c>
    </row>
    <row r="406">
      <c r="A406" t="str">
        <f t="shared" si="1"/>
        <v/>
      </c>
      <c r="C406" t="str">
        <f>IFERROR(__xludf.DUMMYFUNCTION("""COMPUTED_VALUE"""),"")</f>
        <v/>
      </c>
    </row>
    <row r="407">
      <c r="A407" t="str">
        <f t="shared" si="1"/>
        <v/>
      </c>
      <c r="C407" t="str">
        <f>IFERROR(__xludf.DUMMYFUNCTION("""COMPUTED_VALUE"""),"")</f>
        <v/>
      </c>
    </row>
    <row r="408">
      <c r="A408" t="str">
        <f t="shared" si="1"/>
        <v/>
      </c>
      <c r="C408" t="str">
        <f>IFERROR(__xludf.DUMMYFUNCTION("""COMPUTED_VALUE"""),"")</f>
        <v/>
      </c>
    </row>
    <row r="409">
      <c r="A409" t="str">
        <f t="shared" si="1"/>
        <v/>
      </c>
      <c r="C409" t="str">
        <f>IFERROR(__xludf.DUMMYFUNCTION("""COMPUTED_VALUE"""),"")</f>
        <v/>
      </c>
    </row>
    <row r="410">
      <c r="A410" t="str">
        <f t="shared" si="1"/>
        <v/>
      </c>
      <c r="C410" t="str">
        <f>IFERROR(__xludf.DUMMYFUNCTION("""COMPUTED_VALUE"""),"")</f>
        <v/>
      </c>
    </row>
    <row r="411">
      <c r="A411" t="str">
        <f t="shared" si="1"/>
        <v/>
      </c>
      <c r="C411" t="str">
        <f>IFERROR(__xludf.DUMMYFUNCTION("""COMPUTED_VALUE"""),"")</f>
        <v/>
      </c>
    </row>
    <row r="412">
      <c r="A412" t="str">
        <f t="shared" si="1"/>
        <v/>
      </c>
      <c r="C412" t="str">
        <f>IFERROR(__xludf.DUMMYFUNCTION("""COMPUTED_VALUE"""),"")</f>
        <v/>
      </c>
    </row>
    <row r="413">
      <c r="A413" t="str">
        <f t="shared" si="1"/>
        <v/>
      </c>
      <c r="C413" t="str">
        <f>IFERROR(__xludf.DUMMYFUNCTION("""COMPUTED_VALUE"""),"")</f>
        <v/>
      </c>
    </row>
    <row r="414">
      <c r="A414" t="str">
        <f t="shared" si="1"/>
        <v/>
      </c>
      <c r="C414" t="str">
        <f>IFERROR(__xludf.DUMMYFUNCTION("""COMPUTED_VALUE"""),"")</f>
        <v/>
      </c>
    </row>
    <row r="415">
      <c r="A415" t="str">
        <f t="shared" si="1"/>
        <v/>
      </c>
      <c r="C415" t="str">
        <f>IFERROR(__xludf.DUMMYFUNCTION("""COMPUTED_VALUE"""),"")</f>
        <v/>
      </c>
    </row>
    <row r="416">
      <c r="A416" t="str">
        <f t="shared" si="1"/>
        <v/>
      </c>
      <c r="C416" t="str">
        <f>IFERROR(__xludf.DUMMYFUNCTION("""COMPUTED_VALUE"""),"")</f>
        <v/>
      </c>
    </row>
    <row r="417">
      <c r="A417" t="str">
        <f t="shared" si="1"/>
        <v/>
      </c>
      <c r="C417" t="str">
        <f>IFERROR(__xludf.DUMMYFUNCTION("""COMPUTED_VALUE"""),"")</f>
        <v/>
      </c>
    </row>
    <row r="418">
      <c r="A418" t="str">
        <f t="shared" si="1"/>
        <v/>
      </c>
      <c r="C418" t="str">
        <f>IFERROR(__xludf.DUMMYFUNCTION("""COMPUTED_VALUE"""),"")</f>
        <v/>
      </c>
    </row>
    <row r="419">
      <c r="A419" t="str">
        <f t="shared" si="1"/>
        <v/>
      </c>
      <c r="C419" t="str">
        <f>IFERROR(__xludf.DUMMYFUNCTION("""COMPUTED_VALUE"""),"")</f>
        <v/>
      </c>
    </row>
    <row r="420">
      <c r="A420" t="str">
        <f t="shared" si="1"/>
        <v/>
      </c>
      <c r="C420" t="str">
        <f>IFERROR(__xludf.DUMMYFUNCTION("""COMPUTED_VALUE"""),"")</f>
        <v/>
      </c>
    </row>
    <row r="421">
      <c r="A421" t="str">
        <f t="shared" si="1"/>
        <v/>
      </c>
      <c r="C421" t="str">
        <f>IFERROR(__xludf.DUMMYFUNCTION("""COMPUTED_VALUE"""),"")</f>
        <v/>
      </c>
    </row>
    <row r="422">
      <c r="A422" t="str">
        <f t="shared" si="1"/>
        <v/>
      </c>
      <c r="C422" t="str">
        <f>IFERROR(__xludf.DUMMYFUNCTION("""COMPUTED_VALUE"""),"")</f>
        <v/>
      </c>
    </row>
    <row r="423">
      <c r="A423" t="str">
        <f t="shared" si="1"/>
        <v/>
      </c>
      <c r="C423" t="str">
        <f>IFERROR(__xludf.DUMMYFUNCTION("""COMPUTED_VALUE"""),"")</f>
        <v/>
      </c>
    </row>
    <row r="424">
      <c r="A424" t="str">
        <f t="shared" si="1"/>
        <v/>
      </c>
      <c r="C424" t="str">
        <f>IFERROR(__xludf.DUMMYFUNCTION("""COMPUTED_VALUE"""),"")</f>
        <v/>
      </c>
    </row>
    <row r="425">
      <c r="A425" t="str">
        <f t="shared" si="1"/>
        <v/>
      </c>
      <c r="C425" t="str">
        <f>IFERROR(__xludf.DUMMYFUNCTION("""COMPUTED_VALUE"""),"")</f>
        <v/>
      </c>
    </row>
    <row r="426">
      <c r="A426" t="str">
        <f t="shared" si="1"/>
        <v/>
      </c>
      <c r="C426" t="str">
        <f>IFERROR(__xludf.DUMMYFUNCTION("""COMPUTED_VALUE"""),"")</f>
        <v/>
      </c>
    </row>
    <row r="427">
      <c r="A427" t="str">
        <f t="shared" si="1"/>
        <v/>
      </c>
      <c r="C427" t="str">
        <f>IFERROR(__xludf.DUMMYFUNCTION("""COMPUTED_VALUE"""),"")</f>
        <v/>
      </c>
    </row>
    <row r="428">
      <c r="A428" t="str">
        <f t="shared" si="1"/>
        <v/>
      </c>
      <c r="C428" t="str">
        <f>IFERROR(__xludf.DUMMYFUNCTION("""COMPUTED_VALUE"""),"")</f>
        <v/>
      </c>
    </row>
    <row r="429">
      <c r="A429" t="str">
        <f t="shared" si="1"/>
        <v/>
      </c>
      <c r="C429" t="str">
        <f>IFERROR(__xludf.DUMMYFUNCTION("""COMPUTED_VALUE"""),"")</f>
        <v/>
      </c>
    </row>
    <row r="430">
      <c r="A430" t="str">
        <f t="shared" si="1"/>
        <v/>
      </c>
      <c r="C430" t="str">
        <f>IFERROR(__xludf.DUMMYFUNCTION("""COMPUTED_VALUE"""),"")</f>
        <v/>
      </c>
    </row>
    <row r="431">
      <c r="A431" t="str">
        <f t="shared" si="1"/>
        <v/>
      </c>
      <c r="C431" t="str">
        <f>IFERROR(__xludf.DUMMYFUNCTION("""COMPUTED_VALUE"""),"")</f>
        <v/>
      </c>
    </row>
    <row r="432">
      <c r="A432" t="str">
        <f t="shared" si="1"/>
        <v/>
      </c>
      <c r="C432" t="str">
        <f>IFERROR(__xludf.DUMMYFUNCTION("""COMPUTED_VALUE"""),"")</f>
        <v/>
      </c>
    </row>
    <row r="433">
      <c r="A433" t="str">
        <f t="shared" si="1"/>
        <v/>
      </c>
      <c r="C433" t="str">
        <f>IFERROR(__xludf.DUMMYFUNCTION("""COMPUTED_VALUE"""),"")</f>
        <v/>
      </c>
    </row>
    <row r="434">
      <c r="A434" t="str">
        <f t="shared" si="1"/>
        <v/>
      </c>
      <c r="C434" t="str">
        <f>IFERROR(__xludf.DUMMYFUNCTION("""COMPUTED_VALUE"""),"")</f>
        <v/>
      </c>
    </row>
    <row r="435">
      <c r="A435" t="str">
        <f t="shared" si="1"/>
        <v/>
      </c>
      <c r="C435" t="str">
        <f>IFERROR(__xludf.DUMMYFUNCTION("""COMPUTED_VALUE"""),"")</f>
        <v/>
      </c>
    </row>
    <row r="436">
      <c r="A436" t="str">
        <f t="shared" si="1"/>
        <v/>
      </c>
      <c r="C436" t="str">
        <f>IFERROR(__xludf.DUMMYFUNCTION("""COMPUTED_VALUE"""),"")</f>
        <v/>
      </c>
    </row>
    <row r="437">
      <c r="A437" t="str">
        <f t="shared" si="1"/>
        <v/>
      </c>
      <c r="C437" t="str">
        <f>IFERROR(__xludf.DUMMYFUNCTION("""COMPUTED_VALUE"""),"")</f>
        <v/>
      </c>
    </row>
    <row r="438">
      <c r="A438" t="str">
        <f t="shared" si="1"/>
        <v/>
      </c>
      <c r="C438" t="str">
        <f>IFERROR(__xludf.DUMMYFUNCTION("""COMPUTED_VALUE"""),"")</f>
        <v/>
      </c>
    </row>
    <row r="439">
      <c r="A439" t="str">
        <f t="shared" si="1"/>
        <v/>
      </c>
      <c r="C439" t="str">
        <f>IFERROR(__xludf.DUMMYFUNCTION("""COMPUTED_VALUE"""),"")</f>
        <v/>
      </c>
    </row>
    <row r="440">
      <c r="A440" t="str">
        <f t="shared" si="1"/>
        <v/>
      </c>
      <c r="C440" t="str">
        <f>IFERROR(__xludf.DUMMYFUNCTION("""COMPUTED_VALUE"""),"")</f>
        <v/>
      </c>
    </row>
    <row r="441">
      <c r="A441" t="str">
        <f t="shared" si="1"/>
        <v/>
      </c>
      <c r="C441" t="str">
        <f>IFERROR(__xludf.DUMMYFUNCTION("""COMPUTED_VALUE"""),"")</f>
        <v/>
      </c>
    </row>
    <row r="442">
      <c r="A442" t="str">
        <f t="shared" si="1"/>
        <v/>
      </c>
      <c r="C442" t="str">
        <f>IFERROR(__xludf.DUMMYFUNCTION("""COMPUTED_VALUE"""),"")</f>
        <v/>
      </c>
    </row>
    <row r="443">
      <c r="A443" t="str">
        <f t="shared" si="1"/>
        <v/>
      </c>
      <c r="C443" t="str">
        <f>IFERROR(__xludf.DUMMYFUNCTION("""COMPUTED_VALUE"""),"")</f>
        <v/>
      </c>
    </row>
    <row r="444">
      <c r="A444" t="str">
        <f t="shared" si="1"/>
        <v/>
      </c>
      <c r="C444" t="str">
        <f>IFERROR(__xludf.DUMMYFUNCTION("""COMPUTED_VALUE"""),"")</f>
        <v/>
      </c>
    </row>
    <row r="445">
      <c r="A445" t="str">
        <f t="shared" si="1"/>
        <v/>
      </c>
      <c r="C445" t="str">
        <f>IFERROR(__xludf.DUMMYFUNCTION("""COMPUTED_VALUE"""),"")</f>
        <v/>
      </c>
    </row>
    <row r="446">
      <c r="A446" t="str">
        <f t="shared" si="1"/>
        <v/>
      </c>
      <c r="C446" t="str">
        <f>IFERROR(__xludf.DUMMYFUNCTION("""COMPUTED_VALUE"""),"")</f>
        <v/>
      </c>
    </row>
    <row r="447">
      <c r="A447" t="str">
        <f t="shared" si="1"/>
        <v/>
      </c>
      <c r="C447" t="str">
        <f>IFERROR(__xludf.DUMMYFUNCTION("""COMPUTED_VALUE"""),"")</f>
        <v/>
      </c>
    </row>
    <row r="448">
      <c r="A448" t="str">
        <f t="shared" si="1"/>
        <v/>
      </c>
      <c r="C448" t="str">
        <f>IFERROR(__xludf.DUMMYFUNCTION("""COMPUTED_VALUE"""),"")</f>
        <v/>
      </c>
    </row>
    <row r="449">
      <c r="A449" t="str">
        <f t="shared" si="1"/>
        <v/>
      </c>
      <c r="C449" t="str">
        <f>IFERROR(__xludf.DUMMYFUNCTION("""COMPUTED_VALUE"""),"")</f>
        <v/>
      </c>
    </row>
    <row r="450">
      <c r="A450" t="str">
        <f t="shared" si="1"/>
        <v/>
      </c>
      <c r="C450" t="str">
        <f>IFERROR(__xludf.DUMMYFUNCTION("""COMPUTED_VALUE"""),"")</f>
        <v/>
      </c>
    </row>
    <row r="451">
      <c r="A451" t="str">
        <f t="shared" si="1"/>
        <v/>
      </c>
      <c r="C451" t="str">
        <f>IFERROR(__xludf.DUMMYFUNCTION("""COMPUTED_VALUE"""),"")</f>
        <v/>
      </c>
    </row>
    <row r="452">
      <c r="A452" t="str">
        <f t="shared" si="1"/>
        <v/>
      </c>
      <c r="C452" t="str">
        <f>IFERROR(__xludf.DUMMYFUNCTION("""COMPUTED_VALUE"""),"")</f>
        <v/>
      </c>
    </row>
    <row r="453">
      <c r="A453" t="str">
        <f t="shared" si="1"/>
        <v/>
      </c>
      <c r="C453" t="str">
        <f>IFERROR(__xludf.DUMMYFUNCTION("""COMPUTED_VALUE"""),"")</f>
        <v/>
      </c>
    </row>
    <row r="454">
      <c r="A454" t="str">
        <f t="shared" si="1"/>
        <v/>
      </c>
      <c r="C454" t="str">
        <f>IFERROR(__xludf.DUMMYFUNCTION("""COMPUTED_VALUE"""),"")</f>
        <v/>
      </c>
    </row>
    <row r="455">
      <c r="A455" t="str">
        <f t="shared" si="1"/>
        <v/>
      </c>
      <c r="C455" t="str">
        <f>IFERROR(__xludf.DUMMYFUNCTION("""COMPUTED_VALUE"""),"")</f>
        <v/>
      </c>
    </row>
    <row r="456">
      <c r="A456" t="str">
        <f t="shared" si="1"/>
        <v/>
      </c>
      <c r="C456" t="str">
        <f>IFERROR(__xludf.DUMMYFUNCTION("""COMPUTED_VALUE"""),"")</f>
        <v/>
      </c>
    </row>
    <row r="457">
      <c r="A457" t="str">
        <f t="shared" si="1"/>
        <v/>
      </c>
      <c r="C457" t="str">
        <f>IFERROR(__xludf.DUMMYFUNCTION("""COMPUTED_VALUE"""),"")</f>
        <v/>
      </c>
    </row>
    <row r="458">
      <c r="A458" t="str">
        <f t="shared" si="1"/>
        <v/>
      </c>
      <c r="C458" t="str">
        <f>IFERROR(__xludf.DUMMYFUNCTION("""COMPUTED_VALUE"""),"")</f>
        <v/>
      </c>
    </row>
    <row r="459">
      <c r="A459" t="str">
        <f t="shared" si="1"/>
        <v/>
      </c>
      <c r="C459" t="str">
        <f>IFERROR(__xludf.DUMMYFUNCTION("""COMPUTED_VALUE"""),"")</f>
        <v/>
      </c>
    </row>
    <row r="460">
      <c r="A460" t="str">
        <f t="shared" si="1"/>
        <v/>
      </c>
      <c r="C460" t="str">
        <f>IFERROR(__xludf.DUMMYFUNCTION("""COMPUTED_VALUE"""),"")</f>
        <v/>
      </c>
    </row>
    <row r="461">
      <c r="A461" t="str">
        <f t="shared" si="1"/>
        <v/>
      </c>
      <c r="C461" t="str">
        <f>IFERROR(__xludf.DUMMYFUNCTION("""COMPUTED_VALUE"""),"")</f>
        <v/>
      </c>
    </row>
    <row r="462">
      <c r="A462" t="str">
        <f t="shared" si="1"/>
        <v/>
      </c>
      <c r="C462" t="str">
        <f>IFERROR(__xludf.DUMMYFUNCTION("""COMPUTED_VALUE"""),"")</f>
        <v/>
      </c>
    </row>
    <row r="463">
      <c r="A463" t="str">
        <f t="shared" si="1"/>
        <v/>
      </c>
      <c r="C463" t="str">
        <f>IFERROR(__xludf.DUMMYFUNCTION("""COMPUTED_VALUE"""),"")</f>
        <v/>
      </c>
    </row>
    <row r="464">
      <c r="A464" t="str">
        <f t="shared" si="1"/>
        <v/>
      </c>
      <c r="C464" t="str">
        <f>IFERROR(__xludf.DUMMYFUNCTION("""COMPUTED_VALUE"""),"")</f>
        <v/>
      </c>
    </row>
    <row r="465">
      <c r="A465" t="str">
        <f t="shared" si="1"/>
        <v/>
      </c>
      <c r="C465" t="str">
        <f>IFERROR(__xludf.DUMMYFUNCTION("""COMPUTED_VALUE"""),"")</f>
        <v/>
      </c>
    </row>
    <row r="466">
      <c r="A466" t="str">
        <f t="shared" si="1"/>
        <v/>
      </c>
      <c r="C466" t="str">
        <f>IFERROR(__xludf.DUMMYFUNCTION("""COMPUTED_VALUE"""),"")</f>
        <v/>
      </c>
    </row>
    <row r="467">
      <c r="A467" t="str">
        <f t="shared" si="1"/>
        <v/>
      </c>
      <c r="C467" t="str">
        <f>IFERROR(__xludf.DUMMYFUNCTION("""COMPUTED_VALUE"""),"")</f>
        <v/>
      </c>
    </row>
    <row r="468">
      <c r="A468" t="str">
        <f t="shared" si="1"/>
        <v/>
      </c>
      <c r="C468" t="str">
        <f>IFERROR(__xludf.DUMMYFUNCTION("""COMPUTED_VALUE"""),"")</f>
        <v/>
      </c>
    </row>
    <row r="469">
      <c r="A469" t="str">
        <f t="shared" si="1"/>
        <v/>
      </c>
      <c r="C469" t="str">
        <f>IFERROR(__xludf.DUMMYFUNCTION("""COMPUTED_VALUE"""),"")</f>
        <v/>
      </c>
    </row>
    <row r="470">
      <c r="A470" t="str">
        <f t="shared" si="1"/>
        <v/>
      </c>
      <c r="C470" t="str">
        <f>IFERROR(__xludf.DUMMYFUNCTION("""COMPUTED_VALUE"""),"")</f>
        <v/>
      </c>
    </row>
    <row r="471">
      <c r="A471" t="str">
        <f t="shared" si="1"/>
        <v/>
      </c>
      <c r="C471" t="str">
        <f>IFERROR(__xludf.DUMMYFUNCTION("""COMPUTED_VALUE"""),"")</f>
        <v/>
      </c>
    </row>
    <row r="472">
      <c r="A472" t="str">
        <f t="shared" si="1"/>
        <v/>
      </c>
      <c r="C472" t="str">
        <f>IFERROR(__xludf.DUMMYFUNCTION("""COMPUTED_VALUE"""),"")</f>
        <v/>
      </c>
    </row>
    <row r="473">
      <c r="A473" t="str">
        <f t="shared" si="1"/>
        <v/>
      </c>
      <c r="C473" t="str">
        <f>IFERROR(__xludf.DUMMYFUNCTION("""COMPUTED_VALUE"""),"")</f>
        <v/>
      </c>
    </row>
    <row r="474">
      <c r="A474" t="str">
        <f t="shared" si="1"/>
        <v/>
      </c>
      <c r="C474" t="str">
        <f>IFERROR(__xludf.DUMMYFUNCTION("""COMPUTED_VALUE"""),"")</f>
        <v/>
      </c>
    </row>
    <row r="475">
      <c r="A475" t="str">
        <f t="shared" si="1"/>
        <v/>
      </c>
      <c r="C475" t="str">
        <f>IFERROR(__xludf.DUMMYFUNCTION("""COMPUTED_VALUE"""),"")</f>
        <v/>
      </c>
    </row>
    <row r="476">
      <c r="A476" t="str">
        <f t="shared" si="1"/>
        <v/>
      </c>
      <c r="C476" t="str">
        <f>IFERROR(__xludf.DUMMYFUNCTION("""COMPUTED_VALUE"""),"")</f>
        <v/>
      </c>
    </row>
    <row r="477">
      <c r="A477" t="str">
        <f t="shared" si="1"/>
        <v/>
      </c>
      <c r="C477" t="str">
        <f>IFERROR(__xludf.DUMMYFUNCTION("""COMPUTED_VALUE"""),"")</f>
        <v/>
      </c>
    </row>
    <row r="478">
      <c r="A478" t="str">
        <f t="shared" si="1"/>
        <v/>
      </c>
      <c r="C478" t="str">
        <f>IFERROR(__xludf.DUMMYFUNCTION("""COMPUTED_VALUE"""),"")</f>
        <v/>
      </c>
    </row>
    <row r="479">
      <c r="A479" t="str">
        <f t="shared" si="1"/>
        <v/>
      </c>
      <c r="C479" t="str">
        <f>IFERROR(__xludf.DUMMYFUNCTION("""COMPUTED_VALUE"""),"")</f>
        <v/>
      </c>
    </row>
    <row r="480">
      <c r="A480" t="str">
        <f t="shared" si="1"/>
        <v/>
      </c>
      <c r="C480" t="str">
        <f>IFERROR(__xludf.DUMMYFUNCTION("""COMPUTED_VALUE"""),"")</f>
        <v/>
      </c>
    </row>
    <row r="481">
      <c r="A481" t="str">
        <f t="shared" si="1"/>
        <v/>
      </c>
      <c r="C481" t="str">
        <f>IFERROR(__xludf.DUMMYFUNCTION("""COMPUTED_VALUE"""),"")</f>
        <v/>
      </c>
    </row>
    <row r="482">
      <c r="A482" t="str">
        <f t="shared" si="1"/>
        <v/>
      </c>
      <c r="C482" t="str">
        <f>IFERROR(__xludf.DUMMYFUNCTION("""COMPUTED_VALUE"""),"")</f>
        <v/>
      </c>
    </row>
    <row r="483">
      <c r="A483" t="str">
        <f t="shared" si="1"/>
        <v/>
      </c>
      <c r="C483" t="str">
        <f>IFERROR(__xludf.DUMMYFUNCTION("""COMPUTED_VALUE"""),"")</f>
        <v/>
      </c>
    </row>
    <row r="484">
      <c r="A484" t="str">
        <f t="shared" si="1"/>
        <v/>
      </c>
      <c r="C484" t="str">
        <f>IFERROR(__xludf.DUMMYFUNCTION("""COMPUTED_VALUE"""),"")</f>
        <v/>
      </c>
    </row>
    <row r="485">
      <c r="A485" t="str">
        <f t="shared" si="1"/>
        <v/>
      </c>
      <c r="C485" t="str">
        <f>IFERROR(__xludf.DUMMYFUNCTION("""COMPUTED_VALUE"""),"")</f>
        <v/>
      </c>
    </row>
    <row r="486">
      <c r="A486" t="str">
        <f t="shared" si="1"/>
        <v/>
      </c>
      <c r="C486" t="str">
        <f>IFERROR(__xludf.DUMMYFUNCTION("""COMPUTED_VALUE"""),"")</f>
        <v/>
      </c>
    </row>
    <row r="487">
      <c r="A487" t="str">
        <f t="shared" si="1"/>
        <v/>
      </c>
      <c r="C487" t="str">
        <f>IFERROR(__xludf.DUMMYFUNCTION("""COMPUTED_VALUE"""),"")</f>
        <v/>
      </c>
    </row>
    <row r="488">
      <c r="A488" t="str">
        <f t="shared" si="1"/>
        <v/>
      </c>
      <c r="C488" t="str">
        <f>IFERROR(__xludf.DUMMYFUNCTION("""COMPUTED_VALUE"""),"")</f>
        <v/>
      </c>
    </row>
    <row r="489">
      <c r="A489" t="str">
        <f t="shared" si="1"/>
        <v/>
      </c>
      <c r="C489" t="str">
        <f>IFERROR(__xludf.DUMMYFUNCTION("""COMPUTED_VALUE"""),"")</f>
        <v/>
      </c>
    </row>
    <row r="490">
      <c r="A490" t="str">
        <f t="shared" si="1"/>
        <v/>
      </c>
      <c r="C490" t="str">
        <f>IFERROR(__xludf.DUMMYFUNCTION("""COMPUTED_VALUE"""),"")</f>
        <v/>
      </c>
    </row>
    <row r="491">
      <c r="A491" t="str">
        <f t="shared" si="1"/>
        <v/>
      </c>
      <c r="C491" t="str">
        <f>IFERROR(__xludf.DUMMYFUNCTION("""COMPUTED_VALUE"""),"")</f>
        <v/>
      </c>
    </row>
    <row r="492">
      <c r="A492" t="str">
        <f t="shared" si="1"/>
        <v/>
      </c>
      <c r="C492" t="str">
        <f>IFERROR(__xludf.DUMMYFUNCTION("""COMPUTED_VALUE"""),"")</f>
        <v/>
      </c>
    </row>
    <row r="493">
      <c r="A493" t="str">
        <f t="shared" si="1"/>
        <v/>
      </c>
      <c r="C493" t="str">
        <f>IFERROR(__xludf.DUMMYFUNCTION("""COMPUTED_VALUE"""),"")</f>
        <v/>
      </c>
    </row>
    <row r="494">
      <c r="A494" t="str">
        <f t="shared" si="1"/>
        <v/>
      </c>
      <c r="C494" t="str">
        <f>IFERROR(__xludf.DUMMYFUNCTION("""COMPUTED_VALUE"""),"")</f>
        <v/>
      </c>
    </row>
    <row r="495">
      <c r="A495" t="str">
        <f t="shared" si="1"/>
        <v/>
      </c>
      <c r="C495" t="str">
        <f>IFERROR(__xludf.DUMMYFUNCTION("""COMPUTED_VALUE"""),"")</f>
        <v/>
      </c>
    </row>
    <row r="496">
      <c r="A496" t="str">
        <f t="shared" si="1"/>
        <v/>
      </c>
      <c r="C496" t="str">
        <f>IFERROR(__xludf.DUMMYFUNCTION("""COMPUTED_VALUE"""),"")</f>
        <v/>
      </c>
    </row>
    <row r="497">
      <c r="A497" t="str">
        <f t="shared" si="1"/>
        <v/>
      </c>
      <c r="C497" t="str">
        <f>IFERROR(__xludf.DUMMYFUNCTION("""COMPUTED_VALUE"""),"")</f>
        <v/>
      </c>
    </row>
    <row r="498">
      <c r="A498" t="str">
        <f t="shared" si="1"/>
        <v/>
      </c>
      <c r="C498" t="str">
        <f>IFERROR(__xludf.DUMMYFUNCTION("""COMPUTED_VALUE"""),"")</f>
        <v/>
      </c>
    </row>
    <row r="499">
      <c r="A499" t="str">
        <f t="shared" si="1"/>
        <v/>
      </c>
      <c r="C499" t="str">
        <f>IFERROR(__xludf.DUMMYFUNCTION("""COMPUTED_VALUE"""),"")</f>
        <v/>
      </c>
    </row>
    <row r="500">
      <c r="A500" t="str">
        <f t="shared" si="1"/>
        <v/>
      </c>
      <c r="C500" t="str">
        <f>IFERROR(__xludf.DUMMYFUNCTION("""COMPUTED_VALUE"""),"")</f>
        <v/>
      </c>
    </row>
    <row r="501">
      <c r="A501" t="str">
        <f t="shared" si="1"/>
        <v/>
      </c>
      <c r="C501" t="str">
        <f>IFERROR(__xludf.DUMMYFUNCTION("""COMPUTED_VALUE"""),"")</f>
        <v/>
      </c>
    </row>
    <row r="502">
      <c r="A502" t="str">
        <f t="shared" si="1"/>
        <v/>
      </c>
      <c r="C502" t="str">
        <f>IFERROR(__xludf.DUMMYFUNCTION("""COMPUTED_VALUE"""),"")</f>
        <v/>
      </c>
    </row>
    <row r="503">
      <c r="A503" t="str">
        <f t="shared" si="1"/>
        <v/>
      </c>
      <c r="C503" t="str">
        <f>IFERROR(__xludf.DUMMYFUNCTION("""COMPUTED_VALUE"""),"")</f>
        <v/>
      </c>
    </row>
    <row r="504">
      <c r="A504" t="str">
        <f t="shared" si="1"/>
        <v/>
      </c>
      <c r="C504" t="str">
        <f>IFERROR(__xludf.DUMMYFUNCTION("""COMPUTED_VALUE"""),"")</f>
        <v/>
      </c>
    </row>
    <row r="505">
      <c r="A505" t="str">
        <f t="shared" si="1"/>
        <v/>
      </c>
      <c r="C505" t="str">
        <f>IFERROR(__xludf.DUMMYFUNCTION("""COMPUTED_VALUE"""),"")</f>
        <v/>
      </c>
    </row>
    <row r="506">
      <c r="A506" t="str">
        <f t="shared" si="1"/>
        <v/>
      </c>
      <c r="C506" t="str">
        <f>IFERROR(__xludf.DUMMYFUNCTION("""COMPUTED_VALUE"""),"")</f>
        <v/>
      </c>
    </row>
    <row r="507">
      <c r="A507" t="str">
        <f t="shared" si="1"/>
        <v/>
      </c>
      <c r="C507" t="str">
        <f>IFERROR(__xludf.DUMMYFUNCTION("""COMPUTED_VALUE"""),"")</f>
        <v/>
      </c>
    </row>
    <row r="508">
      <c r="A508" t="str">
        <f t="shared" si="1"/>
        <v/>
      </c>
      <c r="C508" t="str">
        <f>IFERROR(__xludf.DUMMYFUNCTION("""COMPUTED_VALUE"""),"")</f>
        <v/>
      </c>
    </row>
    <row r="509">
      <c r="A509" t="str">
        <f t="shared" si="1"/>
        <v/>
      </c>
      <c r="C509" t="str">
        <f>IFERROR(__xludf.DUMMYFUNCTION("""COMPUTED_VALUE"""),"")</f>
        <v/>
      </c>
    </row>
    <row r="510">
      <c r="A510" t="str">
        <f t="shared" si="1"/>
        <v/>
      </c>
      <c r="C510" t="str">
        <f>IFERROR(__xludf.DUMMYFUNCTION("""COMPUTED_VALUE"""),"")</f>
        <v/>
      </c>
    </row>
    <row r="511">
      <c r="A511" t="str">
        <f t="shared" si="1"/>
        <v/>
      </c>
      <c r="C511" t="str">
        <f>IFERROR(__xludf.DUMMYFUNCTION("""COMPUTED_VALUE"""),"")</f>
        <v/>
      </c>
    </row>
    <row r="512">
      <c r="A512" t="str">
        <f t="shared" si="1"/>
        <v/>
      </c>
      <c r="C512" t="str">
        <f>IFERROR(__xludf.DUMMYFUNCTION("""COMPUTED_VALUE"""),"")</f>
        <v/>
      </c>
    </row>
    <row r="513">
      <c r="A513" t="str">
        <f t="shared" si="1"/>
        <v/>
      </c>
      <c r="C513" t="str">
        <f>IFERROR(__xludf.DUMMYFUNCTION("""COMPUTED_VALUE"""),"")</f>
        <v/>
      </c>
    </row>
    <row r="514">
      <c r="A514" t="str">
        <f t="shared" si="1"/>
        <v/>
      </c>
      <c r="C514" t="str">
        <f>IFERROR(__xludf.DUMMYFUNCTION("""COMPUTED_VALUE"""),"")</f>
        <v/>
      </c>
    </row>
    <row r="515">
      <c r="A515" t="str">
        <f t="shared" si="1"/>
        <v/>
      </c>
      <c r="C515" t="str">
        <f>IFERROR(__xludf.DUMMYFUNCTION("""COMPUTED_VALUE"""),"")</f>
        <v/>
      </c>
    </row>
    <row r="516">
      <c r="A516" t="str">
        <f t="shared" si="1"/>
        <v/>
      </c>
      <c r="C516" t="str">
        <f>IFERROR(__xludf.DUMMYFUNCTION("""COMPUTED_VALUE"""),"")</f>
        <v/>
      </c>
    </row>
    <row r="517">
      <c r="A517" t="str">
        <f t="shared" si="1"/>
        <v/>
      </c>
      <c r="C517" t="str">
        <f>IFERROR(__xludf.DUMMYFUNCTION("""COMPUTED_VALUE"""),"")</f>
        <v/>
      </c>
    </row>
    <row r="518">
      <c r="A518" t="str">
        <f t="shared" si="1"/>
        <v/>
      </c>
      <c r="C518" t="str">
        <f>IFERROR(__xludf.DUMMYFUNCTION("""COMPUTED_VALUE"""),"")</f>
        <v/>
      </c>
    </row>
    <row r="519">
      <c r="A519" t="str">
        <f t="shared" si="1"/>
        <v/>
      </c>
      <c r="C519" t="str">
        <f>IFERROR(__xludf.DUMMYFUNCTION("""COMPUTED_VALUE"""),"")</f>
        <v/>
      </c>
    </row>
    <row r="520">
      <c r="A520" t="str">
        <f t="shared" si="1"/>
        <v/>
      </c>
      <c r="C520" t="str">
        <f>IFERROR(__xludf.DUMMYFUNCTION("""COMPUTED_VALUE"""),"")</f>
        <v/>
      </c>
    </row>
    <row r="521">
      <c r="A521" t="str">
        <f t="shared" si="1"/>
        <v/>
      </c>
      <c r="C521" t="str">
        <f>IFERROR(__xludf.DUMMYFUNCTION("""COMPUTED_VALUE"""),"")</f>
        <v/>
      </c>
    </row>
    <row r="522">
      <c r="A522" t="str">
        <f t="shared" si="1"/>
        <v/>
      </c>
      <c r="C522" t="str">
        <f>IFERROR(__xludf.DUMMYFUNCTION("""COMPUTED_VALUE"""),"")</f>
        <v/>
      </c>
    </row>
    <row r="523">
      <c r="A523" t="str">
        <f t="shared" si="1"/>
        <v/>
      </c>
      <c r="C523" t="str">
        <f>IFERROR(__xludf.DUMMYFUNCTION("""COMPUTED_VALUE"""),"")</f>
        <v/>
      </c>
    </row>
    <row r="524">
      <c r="A524" t="str">
        <f t="shared" si="1"/>
        <v/>
      </c>
      <c r="C524" t="str">
        <f>IFERROR(__xludf.DUMMYFUNCTION("""COMPUTED_VALUE"""),"")</f>
        <v/>
      </c>
    </row>
    <row r="525">
      <c r="A525" t="str">
        <f t="shared" si="1"/>
        <v/>
      </c>
      <c r="C525" t="str">
        <f>IFERROR(__xludf.DUMMYFUNCTION("""COMPUTED_VALUE"""),"")</f>
        <v/>
      </c>
    </row>
    <row r="526">
      <c r="A526" t="str">
        <f t="shared" si="1"/>
        <v/>
      </c>
      <c r="C526" t="str">
        <f>IFERROR(__xludf.DUMMYFUNCTION("""COMPUTED_VALUE"""),"")</f>
        <v/>
      </c>
    </row>
    <row r="527">
      <c r="A527" t="str">
        <f t="shared" si="1"/>
        <v/>
      </c>
      <c r="C527" t="str">
        <f>IFERROR(__xludf.DUMMYFUNCTION("""COMPUTED_VALUE"""),"")</f>
        <v/>
      </c>
    </row>
    <row r="528">
      <c r="A528" t="str">
        <f t="shared" si="1"/>
        <v/>
      </c>
      <c r="C528" t="str">
        <f>IFERROR(__xludf.DUMMYFUNCTION("""COMPUTED_VALUE"""),"")</f>
        <v/>
      </c>
    </row>
    <row r="529">
      <c r="A529" t="str">
        <f t="shared" si="1"/>
        <v/>
      </c>
      <c r="C529" t="str">
        <f>IFERROR(__xludf.DUMMYFUNCTION("""COMPUTED_VALUE"""),"")</f>
        <v/>
      </c>
    </row>
    <row r="530">
      <c r="A530" t="str">
        <f t="shared" si="1"/>
        <v/>
      </c>
      <c r="C530" t="str">
        <f>IFERROR(__xludf.DUMMYFUNCTION("""COMPUTED_VALUE"""),"")</f>
        <v/>
      </c>
    </row>
    <row r="531">
      <c r="A531" t="str">
        <f t="shared" si="1"/>
        <v/>
      </c>
      <c r="C531" t="str">
        <f>IFERROR(__xludf.DUMMYFUNCTION("""COMPUTED_VALUE"""),"")</f>
        <v/>
      </c>
    </row>
    <row r="532">
      <c r="A532" t="str">
        <f t="shared" si="1"/>
        <v/>
      </c>
      <c r="C532" t="str">
        <f>IFERROR(__xludf.DUMMYFUNCTION("""COMPUTED_VALUE"""),"")</f>
        <v/>
      </c>
    </row>
    <row r="533">
      <c r="A533" t="str">
        <f t="shared" si="1"/>
        <v/>
      </c>
      <c r="C533" t="str">
        <f>IFERROR(__xludf.DUMMYFUNCTION("""COMPUTED_VALUE"""),"")</f>
        <v/>
      </c>
    </row>
    <row r="534">
      <c r="A534" t="str">
        <f t="shared" si="1"/>
        <v/>
      </c>
      <c r="C534" t="str">
        <f>IFERROR(__xludf.DUMMYFUNCTION("""COMPUTED_VALUE"""),"")</f>
        <v/>
      </c>
    </row>
    <row r="535">
      <c r="A535" t="str">
        <f t="shared" si="1"/>
        <v/>
      </c>
      <c r="C535" t="str">
        <f>IFERROR(__xludf.DUMMYFUNCTION("""COMPUTED_VALUE"""),"")</f>
        <v/>
      </c>
    </row>
    <row r="536">
      <c r="A536" t="str">
        <f t="shared" si="1"/>
        <v/>
      </c>
      <c r="C536" t="str">
        <f>IFERROR(__xludf.DUMMYFUNCTION("""COMPUTED_VALUE"""),"")</f>
        <v/>
      </c>
    </row>
    <row r="537">
      <c r="A537" t="str">
        <f t="shared" si="1"/>
        <v/>
      </c>
      <c r="C537" t="str">
        <f>IFERROR(__xludf.DUMMYFUNCTION("""COMPUTED_VALUE"""),"")</f>
        <v/>
      </c>
    </row>
    <row r="538">
      <c r="A538" t="str">
        <f t="shared" si="1"/>
        <v/>
      </c>
      <c r="C538" t="str">
        <f>IFERROR(__xludf.DUMMYFUNCTION("""COMPUTED_VALUE"""),"")</f>
        <v/>
      </c>
    </row>
    <row r="539">
      <c r="A539" t="str">
        <f t="shared" si="1"/>
        <v/>
      </c>
      <c r="C539" t="str">
        <f>IFERROR(__xludf.DUMMYFUNCTION("""COMPUTED_VALUE"""),"")</f>
        <v/>
      </c>
    </row>
    <row r="540">
      <c r="A540" t="str">
        <f t="shared" si="1"/>
        <v/>
      </c>
      <c r="C540" t="str">
        <f>IFERROR(__xludf.DUMMYFUNCTION("""COMPUTED_VALUE"""),"")</f>
        <v/>
      </c>
    </row>
    <row r="541">
      <c r="A541" t="str">
        <f t="shared" si="1"/>
        <v/>
      </c>
      <c r="C541" t="str">
        <f>IFERROR(__xludf.DUMMYFUNCTION("""COMPUTED_VALUE"""),"")</f>
        <v/>
      </c>
    </row>
    <row r="542">
      <c r="A542" t="str">
        <f t="shared" si="1"/>
        <v/>
      </c>
      <c r="C542" t="str">
        <f>IFERROR(__xludf.DUMMYFUNCTION("""COMPUTED_VALUE"""),"")</f>
        <v/>
      </c>
    </row>
    <row r="543">
      <c r="A543" t="str">
        <f t="shared" si="1"/>
        <v/>
      </c>
      <c r="C543" t="str">
        <f>IFERROR(__xludf.DUMMYFUNCTION("""COMPUTED_VALUE"""),"")</f>
        <v/>
      </c>
    </row>
    <row r="544">
      <c r="A544" t="str">
        <f t="shared" si="1"/>
        <v/>
      </c>
      <c r="C544" t="str">
        <f>IFERROR(__xludf.DUMMYFUNCTION("""COMPUTED_VALUE"""),"")</f>
        <v/>
      </c>
    </row>
    <row r="545">
      <c r="A545" t="str">
        <f t="shared" si="1"/>
        <v/>
      </c>
      <c r="C545" t="str">
        <f>IFERROR(__xludf.DUMMYFUNCTION("""COMPUTED_VALUE"""),"")</f>
        <v/>
      </c>
    </row>
    <row r="546">
      <c r="A546" t="str">
        <f t="shared" si="1"/>
        <v/>
      </c>
      <c r="C546" t="str">
        <f>IFERROR(__xludf.DUMMYFUNCTION("""COMPUTED_VALUE"""),"")</f>
        <v/>
      </c>
    </row>
    <row r="547">
      <c r="A547" t="str">
        <f t="shared" si="1"/>
        <v/>
      </c>
      <c r="C547" t="str">
        <f>IFERROR(__xludf.DUMMYFUNCTION("""COMPUTED_VALUE"""),"")</f>
        <v/>
      </c>
    </row>
    <row r="548">
      <c r="A548" t="str">
        <f t="shared" si="1"/>
        <v/>
      </c>
      <c r="C548" t="str">
        <f>IFERROR(__xludf.DUMMYFUNCTION("""COMPUTED_VALUE"""),"")</f>
        <v/>
      </c>
    </row>
    <row r="549">
      <c r="A549" t="str">
        <f t="shared" si="1"/>
        <v/>
      </c>
      <c r="C549" t="str">
        <f>IFERROR(__xludf.DUMMYFUNCTION("""COMPUTED_VALUE"""),"")</f>
        <v/>
      </c>
    </row>
    <row r="550">
      <c r="A550" t="str">
        <f t="shared" si="1"/>
        <v/>
      </c>
      <c r="C550" t="str">
        <f>IFERROR(__xludf.DUMMYFUNCTION("""COMPUTED_VALUE"""),"")</f>
        <v/>
      </c>
    </row>
    <row r="551">
      <c r="A551" t="str">
        <f t="shared" si="1"/>
        <v/>
      </c>
      <c r="C551" t="str">
        <f>IFERROR(__xludf.DUMMYFUNCTION("""COMPUTED_VALUE"""),"")</f>
        <v/>
      </c>
    </row>
    <row r="552">
      <c r="A552" t="str">
        <f t="shared" si="1"/>
        <v/>
      </c>
      <c r="C552" t="str">
        <f>IFERROR(__xludf.DUMMYFUNCTION("""COMPUTED_VALUE"""),"")</f>
        <v/>
      </c>
    </row>
    <row r="553">
      <c r="A553" t="str">
        <f t="shared" si="1"/>
        <v/>
      </c>
      <c r="C553" t="str">
        <f>IFERROR(__xludf.DUMMYFUNCTION("""COMPUTED_VALUE"""),"")</f>
        <v/>
      </c>
    </row>
    <row r="554">
      <c r="A554" t="str">
        <f t="shared" si="1"/>
        <v/>
      </c>
      <c r="C554" t="str">
        <f>IFERROR(__xludf.DUMMYFUNCTION("""COMPUTED_VALUE"""),"")</f>
        <v/>
      </c>
    </row>
    <row r="555">
      <c r="A555" t="str">
        <f t="shared" si="1"/>
        <v/>
      </c>
      <c r="C555" t="str">
        <f>IFERROR(__xludf.DUMMYFUNCTION("""COMPUTED_VALUE"""),"")</f>
        <v/>
      </c>
    </row>
    <row r="556">
      <c r="A556" t="str">
        <f t="shared" si="1"/>
        <v/>
      </c>
      <c r="C556" t="str">
        <f>IFERROR(__xludf.DUMMYFUNCTION("""COMPUTED_VALUE"""),"")</f>
        <v/>
      </c>
    </row>
    <row r="557">
      <c r="A557" t="str">
        <f t="shared" si="1"/>
        <v/>
      </c>
      <c r="C557" t="str">
        <f>IFERROR(__xludf.DUMMYFUNCTION("""COMPUTED_VALUE"""),"")</f>
        <v/>
      </c>
    </row>
    <row r="558">
      <c r="A558" t="str">
        <f t="shared" si="1"/>
        <v/>
      </c>
      <c r="C558" t="str">
        <f>IFERROR(__xludf.DUMMYFUNCTION("""COMPUTED_VALUE"""),"")</f>
        <v/>
      </c>
    </row>
    <row r="559">
      <c r="A559" t="str">
        <f t="shared" si="1"/>
        <v/>
      </c>
      <c r="C559" t="str">
        <f>IFERROR(__xludf.DUMMYFUNCTION("""COMPUTED_VALUE"""),"")</f>
        <v/>
      </c>
    </row>
    <row r="560">
      <c r="A560" t="str">
        <f t="shared" si="1"/>
        <v/>
      </c>
      <c r="C560" t="str">
        <f>IFERROR(__xludf.DUMMYFUNCTION("""COMPUTED_VALUE"""),"")</f>
        <v/>
      </c>
    </row>
    <row r="561">
      <c r="A561" t="str">
        <f t="shared" si="1"/>
        <v/>
      </c>
      <c r="C561" t="str">
        <f>IFERROR(__xludf.DUMMYFUNCTION("""COMPUTED_VALUE"""),"")</f>
        <v/>
      </c>
    </row>
    <row r="562">
      <c r="A562" t="str">
        <f t="shared" si="1"/>
        <v/>
      </c>
      <c r="C562" t="str">
        <f>IFERROR(__xludf.DUMMYFUNCTION("""COMPUTED_VALUE"""),"")</f>
        <v/>
      </c>
    </row>
    <row r="563">
      <c r="A563" t="str">
        <f t="shared" si="1"/>
        <v/>
      </c>
      <c r="C563" t="str">
        <f>IFERROR(__xludf.DUMMYFUNCTION("""COMPUTED_VALUE"""),"")</f>
        <v/>
      </c>
    </row>
    <row r="564">
      <c r="A564" t="str">
        <f t="shared" si="1"/>
        <v/>
      </c>
      <c r="C564" t="str">
        <f>IFERROR(__xludf.DUMMYFUNCTION("""COMPUTED_VALUE"""),"")</f>
        <v/>
      </c>
    </row>
    <row r="565">
      <c r="A565" t="str">
        <f t="shared" si="1"/>
        <v/>
      </c>
      <c r="C565" t="str">
        <f>IFERROR(__xludf.DUMMYFUNCTION("""COMPUTED_VALUE"""),"")</f>
        <v/>
      </c>
    </row>
    <row r="566">
      <c r="A566" t="str">
        <f t="shared" si="1"/>
        <v/>
      </c>
      <c r="C566" t="str">
        <f>IFERROR(__xludf.DUMMYFUNCTION("""COMPUTED_VALUE"""),"")</f>
        <v/>
      </c>
    </row>
    <row r="567">
      <c r="A567" t="str">
        <f t="shared" si="1"/>
        <v/>
      </c>
      <c r="C567" t="str">
        <f>IFERROR(__xludf.DUMMYFUNCTION("""COMPUTED_VALUE"""),"")</f>
        <v/>
      </c>
    </row>
    <row r="568">
      <c r="A568" t="str">
        <f t="shared" si="1"/>
        <v/>
      </c>
      <c r="C568" t="str">
        <f>IFERROR(__xludf.DUMMYFUNCTION("""COMPUTED_VALUE"""),"")</f>
        <v/>
      </c>
    </row>
    <row r="569">
      <c r="A569" t="str">
        <f t="shared" si="1"/>
        <v/>
      </c>
      <c r="C569" t="str">
        <f>IFERROR(__xludf.DUMMYFUNCTION("""COMPUTED_VALUE"""),"")</f>
        <v/>
      </c>
    </row>
    <row r="570">
      <c r="A570" t="str">
        <f t="shared" si="1"/>
        <v/>
      </c>
      <c r="C570" t="str">
        <f>IFERROR(__xludf.DUMMYFUNCTION("""COMPUTED_VALUE"""),"")</f>
        <v/>
      </c>
    </row>
    <row r="571">
      <c r="A571" t="str">
        <f t="shared" si="1"/>
        <v/>
      </c>
      <c r="C571" t="str">
        <f>IFERROR(__xludf.DUMMYFUNCTION("""COMPUTED_VALUE"""),"")</f>
        <v/>
      </c>
    </row>
    <row r="572">
      <c r="A572" t="str">
        <f t="shared" si="1"/>
        <v/>
      </c>
      <c r="C572" t="str">
        <f>IFERROR(__xludf.DUMMYFUNCTION("""COMPUTED_VALUE"""),"")</f>
        <v/>
      </c>
    </row>
    <row r="573">
      <c r="A573" t="str">
        <f t="shared" si="1"/>
        <v/>
      </c>
      <c r="C573" t="str">
        <f>IFERROR(__xludf.DUMMYFUNCTION("""COMPUTED_VALUE"""),"")</f>
        <v/>
      </c>
    </row>
    <row r="574">
      <c r="A574" t="str">
        <f t="shared" si="1"/>
        <v/>
      </c>
      <c r="C574" t="str">
        <f>IFERROR(__xludf.DUMMYFUNCTION("""COMPUTED_VALUE"""),"")</f>
        <v/>
      </c>
    </row>
    <row r="575">
      <c r="A575" t="str">
        <f t="shared" si="1"/>
        <v/>
      </c>
      <c r="C575" t="str">
        <f>IFERROR(__xludf.DUMMYFUNCTION("""COMPUTED_VALUE"""),"")</f>
        <v/>
      </c>
    </row>
    <row r="576">
      <c r="A576" t="str">
        <f t="shared" si="1"/>
        <v/>
      </c>
      <c r="C576" t="str">
        <f>IFERROR(__xludf.DUMMYFUNCTION("""COMPUTED_VALUE"""),"")</f>
        <v/>
      </c>
    </row>
    <row r="577">
      <c r="A577" t="str">
        <f t="shared" si="1"/>
        <v/>
      </c>
      <c r="C577" t="str">
        <f>IFERROR(__xludf.DUMMYFUNCTION("""COMPUTED_VALUE"""),"")</f>
        <v/>
      </c>
    </row>
    <row r="578">
      <c r="A578" t="str">
        <f t="shared" si="1"/>
        <v/>
      </c>
      <c r="C578" t="str">
        <f>IFERROR(__xludf.DUMMYFUNCTION("""COMPUTED_VALUE"""),"")</f>
        <v/>
      </c>
    </row>
    <row r="579">
      <c r="A579" t="str">
        <f t="shared" si="1"/>
        <v/>
      </c>
      <c r="C579" t="str">
        <f>IFERROR(__xludf.DUMMYFUNCTION("""COMPUTED_VALUE"""),"")</f>
        <v/>
      </c>
    </row>
    <row r="580">
      <c r="A580" t="str">
        <f t="shared" si="1"/>
        <v/>
      </c>
      <c r="C580" t="str">
        <f>IFERROR(__xludf.DUMMYFUNCTION("""COMPUTED_VALUE"""),"")</f>
        <v/>
      </c>
    </row>
    <row r="581">
      <c r="A581" t="str">
        <f t="shared" si="1"/>
        <v/>
      </c>
      <c r="C581" t="str">
        <f>IFERROR(__xludf.DUMMYFUNCTION("""COMPUTED_VALUE"""),"")</f>
        <v/>
      </c>
    </row>
    <row r="582">
      <c r="A582" t="str">
        <f t="shared" si="1"/>
        <v/>
      </c>
      <c r="C582" t="str">
        <f>IFERROR(__xludf.DUMMYFUNCTION("""COMPUTED_VALUE"""),"")</f>
        <v/>
      </c>
    </row>
    <row r="583">
      <c r="A583" t="str">
        <f t="shared" si="1"/>
        <v/>
      </c>
      <c r="C583" t="str">
        <f>IFERROR(__xludf.DUMMYFUNCTION("""COMPUTED_VALUE"""),"")</f>
        <v/>
      </c>
    </row>
    <row r="584">
      <c r="A584" t="str">
        <f t="shared" si="1"/>
        <v/>
      </c>
      <c r="C584" t="str">
        <f>IFERROR(__xludf.DUMMYFUNCTION("""COMPUTED_VALUE"""),"")</f>
        <v/>
      </c>
    </row>
    <row r="585">
      <c r="A585" t="str">
        <f t="shared" si="1"/>
        <v/>
      </c>
      <c r="C585" t="str">
        <f>IFERROR(__xludf.DUMMYFUNCTION("""COMPUTED_VALUE"""),"")</f>
        <v/>
      </c>
    </row>
    <row r="586">
      <c r="A586" t="str">
        <f t="shared" si="1"/>
        <v/>
      </c>
      <c r="C586" t="str">
        <f>IFERROR(__xludf.DUMMYFUNCTION("""COMPUTED_VALUE"""),"")</f>
        <v/>
      </c>
    </row>
    <row r="587">
      <c r="A587" t="str">
        <f t="shared" si="1"/>
        <v/>
      </c>
      <c r="C587" t="str">
        <f>IFERROR(__xludf.DUMMYFUNCTION("""COMPUTED_VALUE"""),"")</f>
        <v/>
      </c>
    </row>
    <row r="588">
      <c r="A588" t="str">
        <f t="shared" si="1"/>
        <v/>
      </c>
      <c r="C588" t="str">
        <f>IFERROR(__xludf.DUMMYFUNCTION("""COMPUTED_VALUE"""),"")</f>
        <v/>
      </c>
    </row>
    <row r="589">
      <c r="A589" t="str">
        <f t="shared" si="1"/>
        <v/>
      </c>
      <c r="C589" t="str">
        <f>IFERROR(__xludf.DUMMYFUNCTION("""COMPUTED_VALUE"""),"")</f>
        <v/>
      </c>
    </row>
    <row r="590">
      <c r="A590" t="str">
        <f t="shared" si="1"/>
        <v/>
      </c>
      <c r="C590" t="str">
        <f>IFERROR(__xludf.DUMMYFUNCTION("""COMPUTED_VALUE"""),"")</f>
        <v/>
      </c>
    </row>
    <row r="591">
      <c r="A591" t="str">
        <f t="shared" si="1"/>
        <v/>
      </c>
      <c r="C591" t="str">
        <f>IFERROR(__xludf.DUMMYFUNCTION("""COMPUTED_VALUE"""),"")</f>
        <v/>
      </c>
    </row>
    <row r="592">
      <c r="A592" t="str">
        <f t="shared" si="1"/>
        <v/>
      </c>
      <c r="C592" t="str">
        <f>IFERROR(__xludf.DUMMYFUNCTION("""COMPUTED_VALUE"""),"")</f>
        <v/>
      </c>
    </row>
    <row r="593">
      <c r="A593" t="str">
        <f t="shared" si="1"/>
        <v/>
      </c>
      <c r="C593" t="str">
        <f>IFERROR(__xludf.DUMMYFUNCTION("""COMPUTED_VALUE"""),"")</f>
        <v/>
      </c>
    </row>
    <row r="594">
      <c r="A594" t="str">
        <f t="shared" si="1"/>
        <v/>
      </c>
      <c r="C594" t="str">
        <f>IFERROR(__xludf.DUMMYFUNCTION("""COMPUTED_VALUE"""),"")</f>
        <v/>
      </c>
    </row>
    <row r="595">
      <c r="A595" t="str">
        <f t="shared" si="1"/>
        <v/>
      </c>
      <c r="C595" t="str">
        <f>IFERROR(__xludf.DUMMYFUNCTION("""COMPUTED_VALUE"""),"")</f>
        <v/>
      </c>
    </row>
    <row r="596">
      <c r="A596" t="str">
        <f t="shared" si="1"/>
        <v/>
      </c>
      <c r="C596" t="str">
        <f>IFERROR(__xludf.DUMMYFUNCTION("""COMPUTED_VALUE"""),"")</f>
        <v/>
      </c>
    </row>
    <row r="597">
      <c r="A597" t="str">
        <f t="shared" si="1"/>
        <v/>
      </c>
      <c r="C597" t="str">
        <f>IFERROR(__xludf.DUMMYFUNCTION("""COMPUTED_VALUE"""),"")</f>
        <v/>
      </c>
    </row>
    <row r="598">
      <c r="A598" t="str">
        <f t="shared" si="1"/>
        <v/>
      </c>
      <c r="C598" t="str">
        <f>IFERROR(__xludf.DUMMYFUNCTION("""COMPUTED_VALUE"""),"")</f>
        <v/>
      </c>
    </row>
    <row r="599">
      <c r="A599" t="str">
        <f t="shared" si="1"/>
        <v/>
      </c>
      <c r="C599" t="str">
        <f>IFERROR(__xludf.DUMMYFUNCTION("""COMPUTED_VALUE"""),"")</f>
        <v/>
      </c>
    </row>
    <row r="600">
      <c r="A600" t="str">
        <f t="shared" si="1"/>
        <v/>
      </c>
      <c r="C600" t="str">
        <f>IFERROR(__xludf.DUMMYFUNCTION("""COMPUTED_VALUE"""),"")</f>
        <v/>
      </c>
    </row>
    <row r="601">
      <c r="A601" t="str">
        <f t="shared" si="1"/>
        <v/>
      </c>
      <c r="C601" t="str">
        <f>IFERROR(__xludf.DUMMYFUNCTION("""COMPUTED_VALUE"""),"")</f>
        <v/>
      </c>
    </row>
    <row r="602">
      <c r="A602" t="str">
        <f t="shared" si="1"/>
        <v/>
      </c>
      <c r="C602" t="str">
        <f>IFERROR(__xludf.DUMMYFUNCTION("""COMPUTED_VALUE"""),"")</f>
        <v/>
      </c>
    </row>
    <row r="603">
      <c r="A603" t="str">
        <f t="shared" si="1"/>
        <v/>
      </c>
      <c r="C603" t="str">
        <f>IFERROR(__xludf.DUMMYFUNCTION("""COMPUTED_VALUE"""),"")</f>
        <v/>
      </c>
    </row>
    <row r="604">
      <c r="A604" t="str">
        <f t="shared" si="1"/>
        <v/>
      </c>
      <c r="C604" t="str">
        <f>IFERROR(__xludf.DUMMYFUNCTION("""COMPUTED_VALUE"""),"")</f>
        <v/>
      </c>
    </row>
    <row r="605">
      <c r="A605" t="str">
        <f t="shared" si="1"/>
        <v/>
      </c>
      <c r="C605" t="str">
        <f>IFERROR(__xludf.DUMMYFUNCTION("""COMPUTED_VALUE"""),"")</f>
        <v/>
      </c>
    </row>
    <row r="606">
      <c r="A606" t="str">
        <f t="shared" si="1"/>
        <v/>
      </c>
      <c r="C606" t="str">
        <f>IFERROR(__xludf.DUMMYFUNCTION("""COMPUTED_VALUE"""),"")</f>
        <v/>
      </c>
    </row>
    <row r="607">
      <c r="A607" t="str">
        <f t="shared" si="1"/>
        <v/>
      </c>
      <c r="C607" t="str">
        <f>IFERROR(__xludf.DUMMYFUNCTION("""COMPUTED_VALUE"""),"")</f>
        <v/>
      </c>
    </row>
    <row r="608">
      <c r="A608" t="str">
        <f t="shared" si="1"/>
        <v/>
      </c>
      <c r="C608" t="str">
        <f>IFERROR(__xludf.DUMMYFUNCTION("""COMPUTED_VALUE"""),"")</f>
        <v/>
      </c>
    </row>
    <row r="609">
      <c r="A609" t="str">
        <f t="shared" si="1"/>
        <v/>
      </c>
      <c r="C609" t="str">
        <f>IFERROR(__xludf.DUMMYFUNCTION("""COMPUTED_VALUE"""),"")</f>
        <v/>
      </c>
    </row>
    <row r="610">
      <c r="A610" t="str">
        <f t="shared" si="1"/>
        <v/>
      </c>
      <c r="C610" t="str">
        <f>IFERROR(__xludf.DUMMYFUNCTION("""COMPUTED_VALUE"""),"")</f>
        <v/>
      </c>
    </row>
    <row r="611">
      <c r="A611" t="str">
        <f t="shared" si="1"/>
        <v/>
      </c>
      <c r="C611" t="str">
        <f>IFERROR(__xludf.DUMMYFUNCTION("""COMPUTED_VALUE"""),"")</f>
        <v/>
      </c>
    </row>
    <row r="612">
      <c r="A612" t="str">
        <f t="shared" si="1"/>
        <v/>
      </c>
      <c r="C612" t="str">
        <f>IFERROR(__xludf.DUMMYFUNCTION("""COMPUTED_VALUE"""),"")</f>
        <v/>
      </c>
    </row>
    <row r="613">
      <c r="A613" t="str">
        <f t="shared" si="1"/>
        <v/>
      </c>
      <c r="C613" t="str">
        <f>IFERROR(__xludf.DUMMYFUNCTION("""COMPUTED_VALUE"""),"")</f>
        <v/>
      </c>
    </row>
    <row r="614">
      <c r="A614" t="str">
        <f t="shared" si="1"/>
        <v/>
      </c>
      <c r="C614" t="str">
        <f>IFERROR(__xludf.DUMMYFUNCTION("""COMPUTED_VALUE"""),"")</f>
        <v/>
      </c>
    </row>
    <row r="615">
      <c r="A615" t="str">
        <f t="shared" si="1"/>
        <v/>
      </c>
      <c r="C615" t="str">
        <f>IFERROR(__xludf.DUMMYFUNCTION("""COMPUTED_VALUE"""),"")</f>
        <v/>
      </c>
    </row>
    <row r="616">
      <c r="A616" t="str">
        <f t="shared" si="1"/>
        <v/>
      </c>
      <c r="C616" t="str">
        <f>IFERROR(__xludf.DUMMYFUNCTION("""COMPUTED_VALUE"""),"")</f>
        <v/>
      </c>
    </row>
    <row r="617">
      <c r="A617" t="str">
        <f t="shared" si="1"/>
        <v/>
      </c>
      <c r="C617" t="str">
        <f>IFERROR(__xludf.DUMMYFUNCTION("""COMPUTED_VALUE"""),"")</f>
        <v/>
      </c>
    </row>
    <row r="618">
      <c r="A618" t="str">
        <f t="shared" si="1"/>
        <v/>
      </c>
      <c r="C618" t="str">
        <f>IFERROR(__xludf.DUMMYFUNCTION("""COMPUTED_VALUE"""),"")</f>
        <v/>
      </c>
    </row>
    <row r="619">
      <c r="A619" t="str">
        <f t="shared" si="1"/>
        <v/>
      </c>
      <c r="C619" t="str">
        <f>IFERROR(__xludf.DUMMYFUNCTION("""COMPUTED_VALUE"""),"")</f>
        <v/>
      </c>
    </row>
    <row r="620">
      <c r="A620" t="str">
        <f t="shared" si="1"/>
        <v/>
      </c>
      <c r="C620" t="str">
        <f>IFERROR(__xludf.DUMMYFUNCTION("""COMPUTED_VALUE"""),"")</f>
        <v/>
      </c>
    </row>
    <row r="621">
      <c r="A621" t="str">
        <f t="shared" si="1"/>
        <v/>
      </c>
      <c r="C621" t="str">
        <f>IFERROR(__xludf.DUMMYFUNCTION("""COMPUTED_VALUE"""),"")</f>
        <v/>
      </c>
    </row>
    <row r="622">
      <c r="A622" t="str">
        <f t="shared" si="1"/>
        <v/>
      </c>
      <c r="C622" t="str">
        <f>IFERROR(__xludf.DUMMYFUNCTION("""COMPUTED_VALUE"""),"")</f>
        <v/>
      </c>
    </row>
    <row r="623">
      <c r="A623" t="str">
        <f t="shared" si="1"/>
        <v/>
      </c>
      <c r="C623" t="str">
        <f>IFERROR(__xludf.DUMMYFUNCTION("""COMPUTED_VALUE"""),"")</f>
        <v/>
      </c>
    </row>
    <row r="624">
      <c r="A624" t="str">
        <f t="shared" si="1"/>
        <v/>
      </c>
      <c r="C624" t="str">
        <f>IFERROR(__xludf.DUMMYFUNCTION("""COMPUTED_VALUE"""),"")</f>
        <v/>
      </c>
    </row>
    <row r="625">
      <c r="A625" t="str">
        <f t="shared" si="1"/>
        <v/>
      </c>
      <c r="C625" t="str">
        <f>IFERROR(__xludf.DUMMYFUNCTION("""COMPUTED_VALUE"""),"")</f>
        <v/>
      </c>
    </row>
    <row r="626">
      <c r="A626" t="str">
        <f t="shared" si="1"/>
        <v/>
      </c>
      <c r="C626" t="str">
        <f>IFERROR(__xludf.DUMMYFUNCTION("""COMPUTED_VALUE"""),"")</f>
        <v/>
      </c>
    </row>
    <row r="627">
      <c r="A627" t="str">
        <f t="shared" si="1"/>
        <v/>
      </c>
      <c r="C627" t="str">
        <f>IFERROR(__xludf.DUMMYFUNCTION("""COMPUTED_VALUE"""),"")</f>
        <v/>
      </c>
    </row>
    <row r="628">
      <c r="A628" t="str">
        <f t="shared" si="1"/>
        <v/>
      </c>
      <c r="C628" t="str">
        <f>IFERROR(__xludf.DUMMYFUNCTION("""COMPUTED_VALUE"""),"")</f>
        <v/>
      </c>
    </row>
    <row r="629">
      <c r="A629" t="str">
        <f t="shared" si="1"/>
        <v/>
      </c>
      <c r="C629" t="str">
        <f>IFERROR(__xludf.DUMMYFUNCTION("""COMPUTED_VALUE"""),"")</f>
        <v/>
      </c>
    </row>
    <row r="630">
      <c r="A630" t="str">
        <f t="shared" si="1"/>
        <v/>
      </c>
      <c r="C630" t="str">
        <f>IFERROR(__xludf.DUMMYFUNCTION("""COMPUTED_VALUE"""),"")</f>
        <v/>
      </c>
    </row>
    <row r="631">
      <c r="A631" t="str">
        <f t="shared" si="1"/>
        <v/>
      </c>
      <c r="C631" t="str">
        <f>IFERROR(__xludf.DUMMYFUNCTION("""COMPUTED_VALUE"""),"")</f>
        <v/>
      </c>
    </row>
    <row r="632">
      <c r="A632" t="str">
        <f t="shared" si="1"/>
        <v/>
      </c>
      <c r="C632" t="str">
        <f>IFERROR(__xludf.DUMMYFUNCTION("""COMPUTED_VALUE"""),"")</f>
        <v/>
      </c>
    </row>
    <row r="633">
      <c r="A633" t="str">
        <f t="shared" si="1"/>
        <v/>
      </c>
      <c r="C633" t="str">
        <f>IFERROR(__xludf.DUMMYFUNCTION("""COMPUTED_VALUE"""),"")</f>
        <v/>
      </c>
    </row>
    <row r="634">
      <c r="A634" t="str">
        <f t="shared" si="1"/>
        <v/>
      </c>
      <c r="C634" t="str">
        <f>IFERROR(__xludf.DUMMYFUNCTION("""COMPUTED_VALUE"""),"")</f>
        <v/>
      </c>
    </row>
    <row r="635">
      <c r="A635" t="str">
        <f t="shared" si="1"/>
        <v/>
      </c>
      <c r="C635" t="str">
        <f>IFERROR(__xludf.DUMMYFUNCTION("""COMPUTED_VALUE"""),"")</f>
        <v/>
      </c>
    </row>
    <row r="636">
      <c r="A636" t="str">
        <f t="shared" si="1"/>
        <v/>
      </c>
      <c r="C636" t="str">
        <f>IFERROR(__xludf.DUMMYFUNCTION("""COMPUTED_VALUE"""),"")</f>
        <v/>
      </c>
    </row>
    <row r="637">
      <c r="A637" t="str">
        <f t="shared" si="1"/>
        <v/>
      </c>
      <c r="C637" t="str">
        <f>IFERROR(__xludf.DUMMYFUNCTION("""COMPUTED_VALUE"""),"")</f>
        <v/>
      </c>
    </row>
    <row r="638">
      <c r="A638" t="str">
        <f t="shared" si="1"/>
        <v/>
      </c>
      <c r="C638" t="str">
        <f>IFERROR(__xludf.DUMMYFUNCTION("""COMPUTED_VALUE"""),"")</f>
        <v/>
      </c>
    </row>
    <row r="639">
      <c r="A639" t="str">
        <f t="shared" si="1"/>
        <v/>
      </c>
      <c r="C639" t="str">
        <f>IFERROR(__xludf.DUMMYFUNCTION("""COMPUTED_VALUE"""),"")</f>
        <v/>
      </c>
    </row>
    <row r="640">
      <c r="A640" t="str">
        <f t="shared" si="1"/>
        <v/>
      </c>
      <c r="C640" t="str">
        <f>IFERROR(__xludf.DUMMYFUNCTION("""COMPUTED_VALUE"""),"")</f>
        <v/>
      </c>
    </row>
    <row r="641">
      <c r="A641" t="str">
        <f t="shared" si="1"/>
        <v/>
      </c>
      <c r="C641" t="str">
        <f>IFERROR(__xludf.DUMMYFUNCTION("""COMPUTED_VALUE"""),"")</f>
        <v/>
      </c>
    </row>
    <row r="642">
      <c r="A642" t="str">
        <f t="shared" si="1"/>
        <v/>
      </c>
      <c r="C642" t="str">
        <f>IFERROR(__xludf.DUMMYFUNCTION("""COMPUTED_VALUE"""),"")</f>
        <v/>
      </c>
    </row>
    <row r="643">
      <c r="A643" t="str">
        <f t="shared" si="1"/>
        <v/>
      </c>
      <c r="C643" t="str">
        <f>IFERROR(__xludf.DUMMYFUNCTION("""COMPUTED_VALUE"""),"")</f>
        <v/>
      </c>
    </row>
    <row r="644">
      <c r="A644" t="str">
        <f t="shared" si="1"/>
        <v/>
      </c>
      <c r="C644" t="str">
        <f>IFERROR(__xludf.DUMMYFUNCTION("""COMPUTED_VALUE"""),"")</f>
        <v/>
      </c>
    </row>
    <row r="645">
      <c r="A645" t="str">
        <f t="shared" si="1"/>
        <v/>
      </c>
      <c r="C645" t="str">
        <f>IFERROR(__xludf.DUMMYFUNCTION("""COMPUTED_VALUE"""),"")</f>
        <v/>
      </c>
    </row>
    <row r="646">
      <c r="A646" t="str">
        <f t="shared" si="1"/>
        <v/>
      </c>
      <c r="C646" t="str">
        <f>IFERROR(__xludf.DUMMYFUNCTION("""COMPUTED_VALUE"""),"")</f>
        <v/>
      </c>
    </row>
    <row r="647">
      <c r="A647" t="str">
        <f t="shared" si="1"/>
        <v/>
      </c>
      <c r="C647" t="str">
        <f>IFERROR(__xludf.DUMMYFUNCTION("""COMPUTED_VALUE"""),"")</f>
        <v/>
      </c>
    </row>
    <row r="648">
      <c r="A648" t="str">
        <f t="shared" si="1"/>
        <v/>
      </c>
      <c r="C648" t="str">
        <f>IFERROR(__xludf.DUMMYFUNCTION("""COMPUTED_VALUE"""),"")</f>
        <v/>
      </c>
    </row>
    <row r="649">
      <c r="A649" t="str">
        <f t="shared" si="1"/>
        <v/>
      </c>
      <c r="C649" t="str">
        <f>IFERROR(__xludf.DUMMYFUNCTION("""COMPUTED_VALUE"""),"")</f>
        <v/>
      </c>
    </row>
    <row r="650">
      <c r="A650" t="str">
        <f t="shared" si="1"/>
        <v/>
      </c>
      <c r="C650" t="str">
        <f>IFERROR(__xludf.DUMMYFUNCTION("""COMPUTED_VALUE"""),"")</f>
        <v/>
      </c>
    </row>
    <row r="651">
      <c r="A651" t="str">
        <f t="shared" si="1"/>
        <v/>
      </c>
      <c r="C651" t="str">
        <f>IFERROR(__xludf.DUMMYFUNCTION("""COMPUTED_VALUE"""),"")</f>
        <v/>
      </c>
    </row>
    <row r="652">
      <c r="A652" t="str">
        <f t="shared" si="1"/>
        <v/>
      </c>
      <c r="C652" t="str">
        <f>IFERROR(__xludf.DUMMYFUNCTION("""COMPUTED_VALUE"""),"")</f>
        <v/>
      </c>
    </row>
    <row r="653">
      <c r="A653" t="str">
        <f t="shared" si="1"/>
        <v/>
      </c>
      <c r="C653" t="str">
        <f>IFERROR(__xludf.DUMMYFUNCTION("""COMPUTED_VALUE"""),"")</f>
        <v/>
      </c>
    </row>
    <row r="654">
      <c r="A654" t="str">
        <f t="shared" si="1"/>
        <v/>
      </c>
      <c r="C654" t="str">
        <f>IFERROR(__xludf.DUMMYFUNCTION("""COMPUTED_VALUE"""),"")</f>
        <v/>
      </c>
    </row>
    <row r="655">
      <c r="A655" t="str">
        <f t="shared" si="1"/>
        <v/>
      </c>
      <c r="C655" t="str">
        <f>IFERROR(__xludf.DUMMYFUNCTION("""COMPUTED_VALUE"""),"")</f>
        <v/>
      </c>
    </row>
    <row r="656">
      <c r="A656" t="str">
        <f t="shared" si="1"/>
        <v/>
      </c>
      <c r="C656" t="str">
        <f>IFERROR(__xludf.DUMMYFUNCTION("""COMPUTED_VALUE"""),"")</f>
        <v/>
      </c>
    </row>
    <row r="657">
      <c r="A657" t="str">
        <f t="shared" si="1"/>
        <v/>
      </c>
      <c r="C657" t="str">
        <f>IFERROR(__xludf.DUMMYFUNCTION("""COMPUTED_VALUE"""),"")</f>
        <v/>
      </c>
    </row>
    <row r="658">
      <c r="A658" t="str">
        <f t="shared" si="1"/>
        <v/>
      </c>
      <c r="C658" t="str">
        <f>IFERROR(__xludf.DUMMYFUNCTION("""COMPUTED_VALUE"""),"")</f>
        <v/>
      </c>
    </row>
    <row r="659">
      <c r="A659" t="str">
        <f t="shared" si="1"/>
        <v/>
      </c>
      <c r="C659" t="str">
        <f>IFERROR(__xludf.DUMMYFUNCTION("""COMPUTED_VALUE"""),"")</f>
        <v/>
      </c>
    </row>
    <row r="660">
      <c r="A660" t="str">
        <f t="shared" si="1"/>
        <v/>
      </c>
      <c r="C660" t="str">
        <f>IFERROR(__xludf.DUMMYFUNCTION("""COMPUTED_VALUE"""),"")</f>
        <v/>
      </c>
    </row>
    <row r="661">
      <c r="A661" t="str">
        <f t="shared" si="1"/>
        <v/>
      </c>
      <c r="C661" t="str">
        <f>IFERROR(__xludf.DUMMYFUNCTION("""COMPUTED_VALUE"""),"")</f>
        <v/>
      </c>
    </row>
    <row r="662">
      <c r="A662" t="str">
        <f t="shared" si="1"/>
        <v/>
      </c>
      <c r="C662" t="str">
        <f>IFERROR(__xludf.DUMMYFUNCTION("""COMPUTED_VALUE"""),"")</f>
        <v/>
      </c>
    </row>
    <row r="663">
      <c r="A663" t="str">
        <f t="shared" si="1"/>
        <v/>
      </c>
      <c r="C663" t="str">
        <f>IFERROR(__xludf.DUMMYFUNCTION("""COMPUTED_VALUE"""),"")</f>
        <v/>
      </c>
    </row>
    <row r="664">
      <c r="A664" t="str">
        <f t="shared" si="1"/>
        <v/>
      </c>
      <c r="C664" t="str">
        <f>IFERROR(__xludf.DUMMYFUNCTION("""COMPUTED_VALUE"""),"")</f>
        <v/>
      </c>
    </row>
    <row r="665">
      <c r="A665" t="str">
        <f t="shared" si="1"/>
        <v/>
      </c>
      <c r="C665" t="str">
        <f>IFERROR(__xludf.DUMMYFUNCTION("""COMPUTED_VALUE"""),"")</f>
        <v/>
      </c>
    </row>
    <row r="666">
      <c r="A666" t="str">
        <f t="shared" si="1"/>
        <v/>
      </c>
      <c r="C666" t="str">
        <f>IFERROR(__xludf.DUMMYFUNCTION("""COMPUTED_VALUE"""),"")</f>
        <v/>
      </c>
    </row>
    <row r="667">
      <c r="A667" t="str">
        <f t="shared" si="1"/>
        <v/>
      </c>
      <c r="C667" t="str">
        <f>IFERROR(__xludf.DUMMYFUNCTION("""COMPUTED_VALUE"""),"")</f>
        <v/>
      </c>
    </row>
    <row r="668">
      <c r="A668" t="str">
        <f t="shared" si="1"/>
        <v/>
      </c>
      <c r="C668" t="str">
        <f>IFERROR(__xludf.DUMMYFUNCTION("""COMPUTED_VALUE"""),"")</f>
        <v/>
      </c>
    </row>
    <row r="669">
      <c r="A669" t="str">
        <f t="shared" si="1"/>
        <v/>
      </c>
      <c r="C669" t="str">
        <f>IFERROR(__xludf.DUMMYFUNCTION("""COMPUTED_VALUE"""),"")</f>
        <v/>
      </c>
    </row>
    <row r="670">
      <c r="A670" t="str">
        <f t="shared" si="1"/>
        <v/>
      </c>
      <c r="C670" t="str">
        <f>IFERROR(__xludf.DUMMYFUNCTION("""COMPUTED_VALUE"""),"")</f>
        <v/>
      </c>
    </row>
    <row r="671">
      <c r="A671" t="str">
        <f t="shared" si="1"/>
        <v/>
      </c>
      <c r="C671" t="str">
        <f>IFERROR(__xludf.DUMMYFUNCTION("""COMPUTED_VALUE"""),"")</f>
        <v/>
      </c>
    </row>
    <row r="672">
      <c r="A672" t="str">
        <f t="shared" si="1"/>
        <v/>
      </c>
      <c r="C672" t="str">
        <f>IFERROR(__xludf.DUMMYFUNCTION("""COMPUTED_VALUE"""),"")</f>
        <v/>
      </c>
    </row>
    <row r="673">
      <c r="A673" t="str">
        <f t="shared" si="1"/>
        <v/>
      </c>
      <c r="C673" t="str">
        <f>IFERROR(__xludf.DUMMYFUNCTION("""COMPUTED_VALUE"""),"")</f>
        <v/>
      </c>
    </row>
    <row r="674">
      <c r="A674" t="str">
        <f t="shared" si="1"/>
        <v/>
      </c>
      <c r="C674" t="str">
        <f>IFERROR(__xludf.DUMMYFUNCTION("""COMPUTED_VALUE"""),"")</f>
        <v/>
      </c>
    </row>
    <row r="675">
      <c r="A675" t="str">
        <f t="shared" si="1"/>
        <v/>
      </c>
      <c r="C675" t="str">
        <f>IFERROR(__xludf.DUMMYFUNCTION("""COMPUTED_VALUE"""),"")</f>
        <v/>
      </c>
    </row>
    <row r="676">
      <c r="A676" t="str">
        <f t="shared" si="1"/>
        <v/>
      </c>
      <c r="C676" t="str">
        <f>IFERROR(__xludf.DUMMYFUNCTION("""COMPUTED_VALUE"""),"")</f>
        <v/>
      </c>
    </row>
    <row r="677">
      <c r="A677" t="str">
        <f t="shared" si="1"/>
        <v/>
      </c>
      <c r="C677" t="str">
        <f>IFERROR(__xludf.DUMMYFUNCTION("""COMPUTED_VALUE"""),"")</f>
        <v/>
      </c>
    </row>
    <row r="678">
      <c r="A678" t="str">
        <f t="shared" si="1"/>
        <v/>
      </c>
      <c r="C678" t="str">
        <f>IFERROR(__xludf.DUMMYFUNCTION("""COMPUTED_VALUE"""),"")</f>
        <v/>
      </c>
    </row>
    <row r="679">
      <c r="A679" t="str">
        <f t="shared" si="1"/>
        <v/>
      </c>
      <c r="C679" t="str">
        <f>IFERROR(__xludf.DUMMYFUNCTION("""COMPUTED_VALUE"""),"")</f>
        <v/>
      </c>
    </row>
    <row r="680">
      <c r="A680" t="str">
        <f t="shared" si="1"/>
        <v/>
      </c>
      <c r="C680" t="str">
        <f>IFERROR(__xludf.DUMMYFUNCTION("""COMPUTED_VALUE"""),"")</f>
        <v/>
      </c>
    </row>
    <row r="681">
      <c r="A681" t="str">
        <f t="shared" si="1"/>
        <v/>
      </c>
      <c r="C681" t="str">
        <f>IFERROR(__xludf.DUMMYFUNCTION("""COMPUTED_VALUE"""),"")</f>
        <v/>
      </c>
    </row>
    <row r="682">
      <c r="A682" t="str">
        <f t="shared" si="1"/>
        <v/>
      </c>
      <c r="C682" t="str">
        <f>IFERROR(__xludf.DUMMYFUNCTION("""COMPUTED_VALUE"""),"")</f>
        <v/>
      </c>
    </row>
    <row r="683">
      <c r="A683" t="str">
        <f t="shared" si="1"/>
        <v/>
      </c>
      <c r="C683" t="str">
        <f>IFERROR(__xludf.DUMMYFUNCTION("""COMPUTED_VALUE"""),"")</f>
        <v/>
      </c>
    </row>
    <row r="684">
      <c r="A684" t="str">
        <f t="shared" si="1"/>
        <v/>
      </c>
      <c r="C684" t="str">
        <f>IFERROR(__xludf.DUMMYFUNCTION("""COMPUTED_VALUE"""),"")</f>
        <v/>
      </c>
    </row>
    <row r="685">
      <c r="A685" t="str">
        <f t="shared" si="1"/>
        <v/>
      </c>
      <c r="C685" t="str">
        <f>IFERROR(__xludf.DUMMYFUNCTION("""COMPUTED_VALUE"""),"")</f>
        <v/>
      </c>
    </row>
    <row r="686">
      <c r="A686" t="str">
        <f t="shared" si="1"/>
        <v/>
      </c>
      <c r="C686" t="str">
        <f>IFERROR(__xludf.DUMMYFUNCTION("""COMPUTED_VALUE"""),"")</f>
        <v/>
      </c>
    </row>
    <row r="687">
      <c r="A687" t="str">
        <f t="shared" si="1"/>
        <v/>
      </c>
      <c r="C687" t="str">
        <f>IFERROR(__xludf.DUMMYFUNCTION("""COMPUTED_VALUE"""),"")</f>
        <v/>
      </c>
    </row>
    <row r="688">
      <c r="A688" t="str">
        <f t="shared" si="1"/>
        <v/>
      </c>
      <c r="C688" t="str">
        <f>IFERROR(__xludf.DUMMYFUNCTION("""COMPUTED_VALUE"""),"")</f>
        <v/>
      </c>
    </row>
    <row r="689">
      <c r="A689" t="str">
        <f t="shared" si="1"/>
        <v/>
      </c>
      <c r="C689" t="str">
        <f>IFERROR(__xludf.DUMMYFUNCTION("""COMPUTED_VALUE"""),"")</f>
        <v/>
      </c>
    </row>
    <row r="690">
      <c r="A690" t="str">
        <f t="shared" si="1"/>
        <v/>
      </c>
      <c r="C690" t="str">
        <f>IFERROR(__xludf.DUMMYFUNCTION("""COMPUTED_VALUE"""),"")</f>
        <v/>
      </c>
    </row>
    <row r="691">
      <c r="A691" t="str">
        <f t="shared" si="1"/>
        <v/>
      </c>
      <c r="C691" t="str">
        <f>IFERROR(__xludf.DUMMYFUNCTION("""COMPUTED_VALUE"""),"")</f>
        <v/>
      </c>
    </row>
    <row r="692">
      <c r="A692" t="str">
        <f t="shared" si="1"/>
        <v/>
      </c>
      <c r="C692" t="str">
        <f>IFERROR(__xludf.DUMMYFUNCTION("""COMPUTED_VALUE"""),"")</f>
        <v/>
      </c>
    </row>
    <row r="693">
      <c r="A693" t="str">
        <f t="shared" si="1"/>
        <v/>
      </c>
      <c r="C693" t="str">
        <f>IFERROR(__xludf.DUMMYFUNCTION("""COMPUTED_VALUE"""),"")</f>
        <v/>
      </c>
    </row>
    <row r="694">
      <c r="A694" t="str">
        <f t="shared" si="1"/>
        <v/>
      </c>
      <c r="C694" t="str">
        <f>IFERROR(__xludf.DUMMYFUNCTION("""COMPUTED_VALUE"""),"")</f>
        <v/>
      </c>
    </row>
    <row r="695">
      <c r="A695" t="str">
        <f t="shared" si="1"/>
        <v/>
      </c>
      <c r="C695" t="str">
        <f>IFERROR(__xludf.DUMMYFUNCTION("""COMPUTED_VALUE"""),"")</f>
        <v/>
      </c>
    </row>
    <row r="696">
      <c r="A696" t="str">
        <f t="shared" si="1"/>
        <v/>
      </c>
      <c r="C696" t="str">
        <f>IFERROR(__xludf.DUMMYFUNCTION("""COMPUTED_VALUE"""),"")</f>
        <v/>
      </c>
    </row>
    <row r="697">
      <c r="A697" t="str">
        <f t="shared" si="1"/>
        <v/>
      </c>
      <c r="C697" t="str">
        <f>IFERROR(__xludf.DUMMYFUNCTION("""COMPUTED_VALUE"""),"")</f>
        <v/>
      </c>
    </row>
    <row r="698">
      <c r="A698" t="str">
        <f t="shared" si="1"/>
        <v/>
      </c>
      <c r="C698" t="str">
        <f>IFERROR(__xludf.DUMMYFUNCTION("""COMPUTED_VALUE"""),"")</f>
        <v/>
      </c>
    </row>
    <row r="699">
      <c r="A699" t="str">
        <f t="shared" si="1"/>
        <v/>
      </c>
      <c r="C699" t="str">
        <f>IFERROR(__xludf.DUMMYFUNCTION("""COMPUTED_VALUE"""),"")</f>
        <v/>
      </c>
    </row>
    <row r="700">
      <c r="A700" t="str">
        <f t="shared" si="1"/>
        <v/>
      </c>
      <c r="C700" t="str">
        <f>IFERROR(__xludf.DUMMYFUNCTION("""COMPUTED_VALUE"""),"")</f>
        <v/>
      </c>
    </row>
    <row r="701">
      <c r="A701" t="str">
        <f t="shared" si="1"/>
        <v/>
      </c>
      <c r="C701" t="str">
        <f>IFERROR(__xludf.DUMMYFUNCTION("""COMPUTED_VALUE"""),"")</f>
        <v/>
      </c>
    </row>
    <row r="702">
      <c r="A702" t="str">
        <f t="shared" si="1"/>
        <v/>
      </c>
      <c r="C702" t="str">
        <f>IFERROR(__xludf.DUMMYFUNCTION("""COMPUTED_VALUE"""),"")</f>
        <v/>
      </c>
    </row>
    <row r="703">
      <c r="A703" t="str">
        <f t="shared" si="1"/>
        <v/>
      </c>
      <c r="C703" t="str">
        <f>IFERROR(__xludf.DUMMYFUNCTION("""COMPUTED_VALUE"""),"")</f>
        <v/>
      </c>
    </row>
    <row r="704">
      <c r="A704" t="str">
        <f t="shared" si="1"/>
        <v/>
      </c>
      <c r="C704" t="str">
        <f>IFERROR(__xludf.DUMMYFUNCTION("""COMPUTED_VALUE"""),"")</f>
        <v/>
      </c>
    </row>
    <row r="705">
      <c r="A705" t="str">
        <f t="shared" si="1"/>
        <v/>
      </c>
      <c r="C705" t="str">
        <f>IFERROR(__xludf.DUMMYFUNCTION("""COMPUTED_VALUE"""),"")</f>
        <v/>
      </c>
    </row>
    <row r="706">
      <c r="A706" t="str">
        <f t="shared" si="1"/>
        <v/>
      </c>
      <c r="C706" t="str">
        <f>IFERROR(__xludf.DUMMYFUNCTION("""COMPUTED_VALUE"""),"")</f>
        <v/>
      </c>
    </row>
    <row r="707">
      <c r="A707" t="str">
        <f t="shared" si="1"/>
        <v/>
      </c>
      <c r="C707" t="str">
        <f>IFERROR(__xludf.DUMMYFUNCTION("""COMPUTED_VALUE"""),"")</f>
        <v/>
      </c>
    </row>
    <row r="708">
      <c r="A708" t="str">
        <f t="shared" si="1"/>
        <v/>
      </c>
      <c r="C708" t="str">
        <f>IFERROR(__xludf.DUMMYFUNCTION("""COMPUTED_VALUE"""),"")</f>
        <v/>
      </c>
    </row>
    <row r="709">
      <c r="A709" t="str">
        <f t="shared" si="1"/>
        <v/>
      </c>
      <c r="C709" t="str">
        <f>IFERROR(__xludf.DUMMYFUNCTION("""COMPUTED_VALUE"""),"")</f>
        <v/>
      </c>
    </row>
    <row r="710">
      <c r="A710" t="str">
        <f t="shared" si="1"/>
        <v/>
      </c>
      <c r="C710" t="str">
        <f>IFERROR(__xludf.DUMMYFUNCTION("""COMPUTED_VALUE"""),"")</f>
        <v/>
      </c>
    </row>
    <row r="711">
      <c r="A711" t="str">
        <f t="shared" si="1"/>
        <v/>
      </c>
      <c r="C711" t="str">
        <f>IFERROR(__xludf.DUMMYFUNCTION("""COMPUTED_VALUE"""),"")</f>
        <v/>
      </c>
    </row>
    <row r="712">
      <c r="A712" t="str">
        <f t="shared" si="1"/>
        <v/>
      </c>
      <c r="C712" t="str">
        <f>IFERROR(__xludf.DUMMYFUNCTION("""COMPUTED_VALUE"""),"")</f>
        <v/>
      </c>
    </row>
    <row r="713">
      <c r="A713" t="str">
        <f t="shared" si="1"/>
        <v/>
      </c>
      <c r="C713" t="str">
        <f>IFERROR(__xludf.DUMMYFUNCTION("""COMPUTED_VALUE"""),"")</f>
        <v/>
      </c>
    </row>
    <row r="714">
      <c r="A714" t="str">
        <f t="shared" si="1"/>
        <v/>
      </c>
      <c r="C714" t="str">
        <f>IFERROR(__xludf.DUMMYFUNCTION("""COMPUTED_VALUE"""),"")</f>
        <v/>
      </c>
    </row>
    <row r="715">
      <c r="A715" t="str">
        <f t="shared" si="1"/>
        <v/>
      </c>
      <c r="C715" t="str">
        <f>IFERROR(__xludf.DUMMYFUNCTION("""COMPUTED_VALUE"""),"")</f>
        <v/>
      </c>
    </row>
    <row r="716">
      <c r="A716" t="str">
        <f t="shared" si="1"/>
        <v/>
      </c>
      <c r="C716" t="str">
        <f>IFERROR(__xludf.DUMMYFUNCTION("""COMPUTED_VALUE"""),"")</f>
        <v/>
      </c>
    </row>
    <row r="717">
      <c r="A717" t="str">
        <f t="shared" si="1"/>
        <v/>
      </c>
      <c r="C717" t="str">
        <f>IFERROR(__xludf.DUMMYFUNCTION("""COMPUTED_VALUE"""),"")</f>
        <v/>
      </c>
    </row>
    <row r="718">
      <c r="A718" t="str">
        <f t="shared" si="1"/>
        <v/>
      </c>
      <c r="C718" t="str">
        <f>IFERROR(__xludf.DUMMYFUNCTION("""COMPUTED_VALUE"""),"")</f>
        <v/>
      </c>
    </row>
    <row r="719">
      <c r="A719" t="str">
        <f t="shared" si="1"/>
        <v/>
      </c>
      <c r="C719" t="str">
        <f>IFERROR(__xludf.DUMMYFUNCTION("""COMPUTED_VALUE"""),"")</f>
        <v/>
      </c>
    </row>
    <row r="720">
      <c r="A720" t="str">
        <f t="shared" si="1"/>
        <v/>
      </c>
      <c r="C720" t="str">
        <f>IFERROR(__xludf.DUMMYFUNCTION("""COMPUTED_VALUE"""),"")</f>
        <v/>
      </c>
    </row>
    <row r="721">
      <c r="A721" t="str">
        <f t="shared" si="1"/>
        <v/>
      </c>
      <c r="C721" t="str">
        <f>IFERROR(__xludf.DUMMYFUNCTION("""COMPUTED_VALUE"""),"")</f>
        <v/>
      </c>
    </row>
    <row r="722">
      <c r="A722" t="str">
        <f t="shared" si="1"/>
        <v/>
      </c>
      <c r="C722" t="str">
        <f>IFERROR(__xludf.DUMMYFUNCTION("""COMPUTED_VALUE"""),"")</f>
        <v/>
      </c>
    </row>
    <row r="723">
      <c r="A723" t="str">
        <f t="shared" si="1"/>
        <v/>
      </c>
      <c r="C723" t="str">
        <f>IFERROR(__xludf.DUMMYFUNCTION("""COMPUTED_VALUE"""),"")</f>
        <v/>
      </c>
    </row>
    <row r="724">
      <c r="A724" t="str">
        <f t="shared" si="1"/>
        <v/>
      </c>
      <c r="C724" t="str">
        <f>IFERROR(__xludf.DUMMYFUNCTION("""COMPUTED_VALUE"""),"")</f>
        <v/>
      </c>
    </row>
    <row r="725">
      <c r="A725" t="str">
        <f t="shared" si="1"/>
        <v/>
      </c>
      <c r="C725" t="str">
        <f>IFERROR(__xludf.DUMMYFUNCTION("""COMPUTED_VALUE"""),"")</f>
        <v/>
      </c>
    </row>
    <row r="726">
      <c r="A726" t="str">
        <f t="shared" si="1"/>
        <v/>
      </c>
      <c r="C726" t="str">
        <f>IFERROR(__xludf.DUMMYFUNCTION("""COMPUTED_VALUE"""),"")</f>
        <v/>
      </c>
    </row>
    <row r="727">
      <c r="A727" t="str">
        <f t="shared" si="1"/>
        <v/>
      </c>
      <c r="C727" t="str">
        <f>IFERROR(__xludf.DUMMYFUNCTION("""COMPUTED_VALUE"""),"")</f>
        <v/>
      </c>
    </row>
    <row r="728">
      <c r="A728" t="str">
        <f t="shared" si="1"/>
        <v/>
      </c>
      <c r="C728" t="str">
        <f>IFERROR(__xludf.DUMMYFUNCTION("""COMPUTED_VALUE"""),"")</f>
        <v/>
      </c>
    </row>
    <row r="729">
      <c r="A729" t="str">
        <f t="shared" si="1"/>
        <v/>
      </c>
      <c r="C729" t="str">
        <f>IFERROR(__xludf.DUMMYFUNCTION("""COMPUTED_VALUE"""),"")</f>
        <v/>
      </c>
    </row>
    <row r="730">
      <c r="A730" t="str">
        <f t="shared" si="1"/>
        <v/>
      </c>
      <c r="C730" t="str">
        <f>IFERROR(__xludf.DUMMYFUNCTION("""COMPUTED_VALUE"""),"")</f>
        <v/>
      </c>
    </row>
    <row r="731">
      <c r="A731" t="str">
        <f t="shared" si="1"/>
        <v/>
      </c>
      <c r="C731" t="str">
        <f>IFERROR(__xludf.DUMMYFUNCTION("""COMPUTED_VALUE"""),"")</f>
        <v/>
      </c>
    </row>
    <row r="732">
      <c r="A732" t="str">
        <f t="shared" si="1"/>
        <v/>
      </c>
      <c r="C732" t="str">
        <f>IFERROR(__xludf.DUMMYFUNCTION("""COMPUTED_VALUE"""),"")</f>
        <v/>
      </c>
    </row>
    <row r="733">
      <c r="A733" t="str">
        <f t="shared" si="1"/>
        <v/>
      </c>
      <c r="C733" t="str">
        <f>IFERROR(__xludf.DUMMYFUNCTION("""COMPUTED_VALUE"""),"")</f>
        <v/>
      </c>
    </row>
    <row r="734">
      <c r="A734" t="str">
        <f t="shared" si="1"/>
        <v/>
      </c>
      <c r="C734" t="str">
        <f>IFERROR(__xludf.DUMMYFUNCTION("""COMPUTED_VALUE"""),"")</f>
        <v/>
      </c>
    </row>
    <row r="735">
      <c r="A735" t="str">
        <f t="shared" si="1"/>
        <v/>
      </c>
      <c r="C735" t="str">
        <f>IFERROR(__xludf.DUMMYFUNCTION("""COMPUTED_VALUE"""),"")</f>
        <v/>
      </c>
    </row>
    <row r="736">
      <c r="A736" t="str">
        <f t="shared" si="1"/>
        <v/>
      </c>
      <c r="C736" t="str">
        <f>IFERROR(__xludf.DUMMYFUNCTION("""COMPUTED_VALUE"""),"")</f>
        <v/>
      </c>
    </row>
    <row r="737">
      <c r="A737" t="str">
        <f t="shared" si="1"/>
        <v/>
      </c>
      <c r="C737" t="str">
        <f>IFERROR(__xludf.DUMMYFUNCTION("""COMPUTED_VALUE"""),"")</f>
        <v/>
      </c>
    </row>
    <row r="738">
      <c r="A738" t="str">
        <f t="shared" si="1"/>
        <v/>
      </c>
      <c r="C738" t="str">
        <f>IFERROR(__xludf.DUMMYFUNCTION("""COMPUTED_VALUE"""),"")</f>
        <v/>
      </c>
    </row>
    <row r="739">
      <c r="A739" t="str">
        <f t="shared" si="1"/>
        <v/>
      </c>
      <c r="C739" t="str">
        <f>IFERROR(__xludf.DUMMYFUNCTION("""COMPUTED_VALUE"""),"")</f>
        <v/>
      </c>
    </row>
    <row r="740">
      <c r="A740" t="str">
        <f t="shared" si="1"/>
        <v/>
      </c>
      <c r="C740" t="str">
        <f>IFERROR(__xludf.DUMMYFUNCTION("""COMPUTED_VALUE"""),"")</f>
        <v/>
      </c>
    </row>
    <row r="741">
      <c r="A741" t="str">
        <f t="shared" si="1"/>
        <v/>
      </c>
      <c r="C741" t="str">
        <f>IFERROR(__xludf.DUMMYFUNCTION("""COMPUTED_VALUE"""),"")</f>
        <v/>
      </c>
    </row>
    <row r="742">
      <c r="A742" t="str">
        <f t="shared" si="1"/>
        <v/>
      </c>
      <c r="C742" t="str">
        <f>IFERROR(__xludf.DUMMYFUNCTION("""COMPUTED_VALUE"""),"")</f>
        <v/>
      </c>
    </row>
    <row r="743">
      <c r="A743" t="str">
        <f t="shared" si="1"/>
        <v/>
      </c>
      <c r="C743" t="str">
        <f>IFERROR(__xludf.DUMMYFUNCTION("""COMPUTED_VALUE"""),"")</f>
        <v/>
      </c>
    </row>
    <row r="744">
      <c r="A744" t="str">
        <f t="shared" si="1"/>
        <v/>
      </c>
      <c r="C744" t="str">
        <f>IFERROR(__xludf.DUMMYFUNCTION("""COMPUTED_VALUE"""),"")</f>
        <v/>
      </c>
    </row>
    <row r="745">
      <c r="A745" t="str">
        <f t="shared" si="1"/>
        <v/>
      </c>
      <c r="C745" t="str">
        <f>IFERROR(__xludf.DUMMYFUNCTION("""COMPUTED_VALUE"""),"")</f>
        <v/>
      </c>
    </row>
    <row r="746">
      <c r="A746" t="str">
        <f t="shared" si="1"/>
        <v/>
      </c>
      <c r="C746" t="str">
        <f>IFERROR(__xludf.DUMMYFUNCTION("""COMPUTED_VALUE"""),"")</f>
        <v/>
      </c>
    </row>
    <row r="747">
      <c r="A747" t="str">
        <f t="shared" si="1"/>
        <v/>
      </c>
      <c r="C747" t="str">
        <f>IFERROR(__xludf.DUMMYFUNCTION("""COMPUTED_VALUE"""),"")</f>
        <v/>
      </c>
    </row>
    <row r="748">
      <c r="A748" t="str">
        <f t="shared" si="1"/>
        <v/>
      </c>
      <c r="C748" t="str">
        <f>IFERROR(__xludf.DUMMYFUNCTION("""COMPUTED_VALUE"""),"")</f>
        <v/>
      </c>
    </row>
    <row r="749">
      <c r="A749" t="str">
        <f t="shared" si="1"/>
        <v/>
      </c>
      <c r="C749" t="str">
        <f>IFERROR(__xludf.DUMMYFUNCTION("""COMPUTED_VALUE"""),"")</f>
        <v/>
      </c>
    </row>
    <row r="750">
      <c r="A750" t="str">
        <f t="shared" si="1"/>
        <v/>
      </c>
      <c r="C750" t="str">
        <f>IFERROR(__xludf.DUMMYFUNCTION("""COMPUTED_VALUE"""),"")</f>
        <v/>
      </c>
    </row>
    <row r="751">
      <c r="A751" t="str">
        <f t="shared" si="1"/>
        <v/>
      </c>
      <c r="C751" t="str">
        <f>IFERROR(__xludf.DUMMYFUNCTION("""COMPUTED_VALUE"""),"")</f>
        <v/>
      </c>
    </row>
    <row r="752">
      <c r="A752" t="str">
        <f t="shared" si="1"/>
        <v/>
      </c>
      <c r="C752" t="str">
        <f>IFERROR(__xludf.DUMMYFUNCTION("""COMPUTED_VALUE"""),"")</f>
        <v/>
      </c>
    </row>
    <row r="753">
      <c r="A753" t="str">
        <f t="shared" si="1"/>
        <v/>
      </c>
      <c r="C753" t="str">
        <f>IFERROR(__xludf.DUMMYFUNCTION("""COMPUTED_VALUE"""),"")</f>
        <v/>
      </c>
    </row>
    <row r="754">
      <c r="A754" t="str">
        <f t="shared" si="1"/>
        <v/>
      </c>
      <c r="C754" t="str">
        <f>IFERROR(__xludf.DUMMYFUNCTION("""COMPUTED_VALUE"""),"")</f>
        <v/>
      </c>
    </row>
    <row r="755">
      <c r="A755" t="str">
        <f t="shared" si="1"/>
        <v/>
      </c>
      <c r="C755" t="str">
        <f>IFERROR(__xludf.DUMMYFUNCTION("""COMPUTED_VALUE"""),"")</f>
        <v/>
      </c>
    </row>
    <row r="756">
      <c r="A756" t="str">
        <f t="shared" si="1"/>
        <v/>
      </c>
      <c r="C756" t="str">
        <f>IFERROR(__xludf.DUMMYFUNCTION("""COMPUTED_VALUE"""),"")</f>
        <v/>
      </c>
    </row>
    <row r="757">
      <c r="A757" t="str">
        <f t="shared" si="1"/>
        <v/>
      </c>
      <c r="C757" t="str">
        <f>IFERROR(__xludf.DUMMYFUNCTION("""COMPUTED_VALUE"""),"")</f>
        <v/>
      </c>
    </row>
    <row r="758">
      <c r="A758" t="str">
        <f t="shared" si="1"/>
        <v/>
      </c>
      <c r="C758" t="str">
        <f>IFERROR(__xludf.DUMMYFUNCTION("""COMPUTED_VALUE"""),"")</f>
        <v/>
      </c>
    </row>
    <row r="759">
      <c r="A759" t="str">
        <f t="shared" si="1"/>
        <v/>
      </c>
      <c r="C759" t="str">
        <f>IFERROR(__xludf.DUMMYFUNCTION("""COMPUTED_VALUE"""),"")</f>
        <v/>
      </c>
    </row>
    <row r="760">
      <c r="A760" t="str">
        <f t="shared" si="1"/>
        <v/>
      </c>
      <c r="C760" t="str">
        <f>IFERROR(__xludf.DUMMYFUNCTION("""COMPUTED_VALUE"""),"")</f>
        <v/>
      </c>
    </row>
    <row r="761">
      <c r="A761" t="str">
        <f t="shared" si="1"/>
        <v/>
      </c>
      <c r="C761" t="str">
        <f>IFERROR(__xludf.DUMMYFUNCTION("""COMPUTED_VALUE"""),"")</f>
        <v/>
      </c>
    </row>
    <row r="762">
      <c r="A762" t="str">
        <f t="shared" si="1"/>
        <v/>
      </c>
      <c r="C762" t="str">
        <f>IFERROR(__xludf.DUMMYFUNCTION("""COMPUTED_VALUE"""),"")</f>
        <v/>
      </c>
    </row>
    <row r="763">
      <c r="A763" t="str">
        <f t="shared" si="1"/>
        <v/>
      </c>
      <c r="C763" t="str">
        <f>IFERROR(__xludf.DUMMYFUNCTION("""COMPUTED_VALUE"""),"")</f>
        <v/>
      </c>
    </row>
    <row r="764">
      <c r="A764" t="str">
        <f t="shared" si="1"/>
        <v/>
      </c>
      <c r="C764" t="str">
        <f>IFERROR(__xludf.DUMMYFUNCTION("""COMPUTED_VALUE"""),"")</f>
        <v/>
      </c>
    </row>
    <row r="765">
      <c r="A765" t="str">
        <f t="shared" si="1"/>
        <v/>
      </c>
      <c r="C765" t="str">
        <f>IFERROR(__xludf.DUMMYFUNCTION("""COMPUTED_VALUE"""),"")</f>
        <v/>
      </c>
    </row>
    <row r="766">
      <c r="A766" t="str">
        <f t="shared" si="1"/>
        <v/>
      </c>
      <c r="C766" t="str">
        <f>IFERROR(__xludf.DUMMYFUNCTION("""COMPUTED_VALUE"""),"")</f>
        <v/>
      </c>
    </row>
    <row r="767">
      <c r="A767" t="str">
        <f t="shared" si="1"/>
        <v/>
      </c>
      <c r="C767" t="str">
        <f>IFERROR(__xludf.DUMMYFUNCTION("""COMPUTED_VALUE"""),"")</f>
        <v/>
      </c>
    </row>
    <row r="768">
      <c r="A768" t="str">
        <f t="shared" si="1"/>
        <v/>
      </c>
      <c r="C768" t="str">
        <f>IFERROR(__xludf.DUMMYFUNCTION("""COMPUTED_VALUE"""),"")</f>
        <v/>
      </c>
    </row>
    <row r="769">
      <c r="A769" t="str">
        <f t="shared" si="1"/>
        <v/>
      </c>
      <c r="C769" t="str">
        <f>IFERROR(__xludf.DUMMYFUNCTION("""COMPUTED_VALUE"""),"")</f>
        <v/>
      </c>
    </row>
    <row r="770">
      <c r="A770" t="str">
        <f t="shared" si="1"/>
        <v/>
      </c>
      <c r="C770" t="str">
        <f>IFERROR(__xludf.DUMMYFUNCTION("""COMPUTED_VALUE"""),"")</f>
        <v/>
      </c>
    </row>
    <row r="771">
      <c r="A771" t="str">
        <f t="shared" si="1"/>
        <v/>
      </c>
      <c r="C771" t="str">
        <f>IFERROR(__xludf.DUMMYFUNCTION("""COMPUTED_VALUE"""),"")</f>
        <v/>
      </c>
    </row>
    <row r="772">
      <c r="A772" t="str">
        <f t="shared" si="1"/>
        <v/>
      </c>
      <c r="C772" t="str">
        <f>IFERROR(__xludf.DUMMYFUNCTION("""COMPUTED_VALUE"""),"")</f>
        <v/>
      </c>
    </row>
    <row r="773">
      <c r="A773" t="str">
        <f t="shared" si="1"/>
        <v/>
      </c>
      <c r="C773" t="str">
        <f>IFERROR(__xludf.DUMMYFUNCTION("""COMPUTED_VALUE"""),"")</f>
        <v/>
      </c>
    </row>
    <row r="774">
      <c r="A774" t="str">
        <f t="shared" si="1"/>
        <v/>
      </c>
      <c r="C774" t="str">
        <f>IFERROR(__xludf.DUMMYFUNCTION("""COMPUTED_VALUE"""),"")</f>
        <v/>
      </c>
    </row>
    <row r="775">
      <c r="A775" t="str">
        <f t="shared" si="1"/>
        <v/>
      </c>
      <c r="C775" t="str">
        <f>IFERROR(__xludf.DUMMYFUNCTION("""COMPUTED_VALUE"""),"")</f>
        <v/>
      </c>
    </row>
    <row r="776">
      <c r="A776" t="str">
        <f t="shared" si="1"/>
        <v/>
      </c>
      <c r="C776" t="str">
        <f>IFERROR(__xludf.DUMMYFUNCTION("""COMPUTED_VALUE"""),"")</f>
        <v/>
      </c>
    </row>
    <row r="777">
      <c r="A777" t="str">
        <f t="shared" si="1"/>
        <v/>
      </c>
      <c r="C777" t="str">
        <f>IFERROR(__xludf.DUMMYFUNCTION("""COMPUTED_VALUE"""),"")</f>
        <v/>
      </c>
    </row>
    <row r="778">
      <c r="A778" t="str">
        <f t="shared" si="1"/>
        <v/>
      </c>
      <c r="C778" t="str">
        <f>IFERROR(__xludf.DUMMYFUNCTION("""COMPUTED_VALUE"""),"")</f>
        <v/>
      </c>
    </row>
    <row r="779">
      <c r="A779" t="str">
        <f t="shared" si="1"/>
        <v/>
      </c>
      <c r="C779" t="str">
        <f>IFERROR(__xludf.DUMMYFUNCTION("""COMPUTED_VALUE"""),"")</f>
        <v/>
      </c>
    </row>
    <row r="780">
      <c r="A780" t="str">
        <f t="shared" si="1"/>
        <v/>
      </c>
      <c r="C780" t="str">
        <f>IFERROR(__xludf.DUMMYFUNCTION("""COMPUTED_VALUE"""),"")</f>
        <v/>
      </c>
    </row>
    <row r="781">
      <c r="A781" t="str">
        <f t="shared" si="1"/>
        <v/>
      </c>
      <c r="C781" t="str">
        <f>IFERROR(__xludf.DUMMYFUNCTION("""COMPUTED_VALUE"""),"")</f>
        <v/>
      </c>
    </row>
    <row r="782">
      <c r="A782" t="str">
        <f t="shared" si="1"/>
        <v/>
      </c>
      <c r="C782" t="str">
        <f>IFERROR(__xludf.DUMMYFUNCTION("""COMPUTED_VALUE"""),"")</f>
        <v/>
      </c>
    </row>
    <row r="783">
      <c r="A783" t="str">
        <f t="shared" si="1"/>
        <v/>
      </c>
      <c r="C783" t="str">
        <f>IFERROR(__xludf.DUMMYFUNCTION("""COMPUTED_VALUE"""),"")</f>
        <v/>
      </c>
    </row>
    <row r="784">
      <c r="A784" t="str">
        <f t="shared" si="1"/>
        <v/>
      </c>
      <c r="C784" t="str">
        <f>IFERROR(__xludf.DUMMYFUNCTION("""COMPUTED_VALUE"""),"")</f>
        <v/>
      </c>
    </row>
    <row r="785">
      <c r="A785" t="str">
        <f t="shared" si="1"/>
        <v/>
      </c>
      <c r="C785" t="str">
        <f>IFERROR(__xludf.DUMMYFUNCTION("""COMPUTED_VALUE"""),"")</f>
        <v/>
      </c>
    </row>
    <row r="786">
      <c r="A786" t="str">
        <f t="shared" si="1"/>
        <v/>
      </c>
      <c r="C786" t="str">
        <f>IFERROR(__xludf.DUMMYFUNCTION("""COMPUTED_VALUE"""),"")</f>
        <v/>
      </c>
    </row>
    <row r="787">
      <c r="A787" t="str">
        <f t="shared" si="1"/>
        <v/>
      </c>
      <c r="C787" t="str">
        <f>IFERROR(__xludf.DUMMYFUNCTION("""COMPUTED_VALUE"""),"")</f>
        <v/>
      </c>
    </row>
    <row r="788">
      <c r="A788" t="str">
        <f t="shared" si="1"/>
        <v/>
      </c>
      <c r="C788" t="str">
        <f>IFERROR(__xludf.DUMMYFUNCTION("""COMPUTED_VALUE"""),"")</f>
        <v/>
      </c>
    </row>
    <row r="789">
      <c r="A789" t="str">
        <f t="shared" si="1"/>
        <v/>
      </c>
      <c r="C789" t="str">
        <f>IFERROR(__xludf.DUMMYFUNCTION("""COMPUTED_VALUE"""),"")</f>
        <v/>
      </c>
    </row>
    <row r="790">
      <c r="A790" t="str">
        <f t="shared" si="1"/>
        <v/>
      </c>
      <c r="C790" t="str">
        <f>IFERROR(__xludf.DUMMYFUNCTION("""COMPUTED_VALUE"""),"")</f>
        <v/>
      </c>
    </row>
    <row r="791">
      <c r="A791" t="str">
        <f t="shared" si="1"/>
        <v/>
      </c>
      <c r="C791" t="str">
        <f>IFERROR(__xludf.DUMMYFUNCTION("""COMPUTED_VALUE"""),"")</f>
        <v/>
      </c>
    </row>
    <row r="792">
      <c r="A792" t="str">
        <f t="shared" si="1"/>
        <v/>
      </c>
      <c r="C792" t="str">
        <f>IFERROR(__xludf.DUMMYFUNCTION("""COMPUTED_VALUE"""),"")</f>
        <v/>
      </c>
    </row>
    <row r="793">
      <c r="A793" t="str">
        <f t="shared" si="1"/>
        <v/>
      </c>
      <c r="C793" t="str">
        <f>IFERROR(__xludf.DUMMYFUNCTION("""COMPUTED_VALUE"""),"")</f>
        <v/>
      </c>
    </row>
    <row r="794">
      <c r="A794" t="str">
        <f t="shared" si="1"/>
        <v/>
      </c>
      <c r="C794" t="str">
        <f>IFERROR(__xludf.DUMMYFUNCTION("""COMPUTED_VALUE"""),"")</f>
        <v/>
      </c>
    </row>
    <row r="795">
      <c r="A795" t="str">
        <f t="shared" si="1"/>
        <v/>
      </c>
      <c r="C795" t="str">
        <f>IFERROR(__xludf.DUMMYFUNCTION("""COMPUTED_VALUE"""),"")</f>
        <v/>
      </c>
    </row>
    <row r="796">
      <c r="A796" t="str">
        <f t="shared" si="1"/>
        <v/>
      </c>
      <c r="C796" t="str">
        <f>IFERROR(__xludf.DUMMYFUNCTION("""COMPUTED_VALUE"""),"")</f>
        <v/>
      </c>
    </row>
    <row r="797">
      <c r="A797" t="str">
        <f t="shared" si="1"/>
        <v/>
      </c>
      <c r="C797" t="str">
        <f>IFERROR(__xludf.DUMMYFUNCTION("""COMPUTED_VALUE"""),"")</f>
        <v/>
      </c>
    </row>
    <row r="798">
      <c r="A798" t="str">
        <f t="shared" si="1"/>
        <v/>
      </c>
      <c r="C798" t="str">
        <f>IFERROR(__xludf.DUMMYFUNCTION("""COMPUTED_VALUE"""),"")</f>
        <v/>
      </c>
    </row>
    <row r="799">
      <c r="A799" t="str">
        <f t="shared" si="1"/>
        <v/>
      </c>
      <c r="C799" t="str">
        <f>IFERROR(__xludf.DUMMYFUNCTION("""COMPUTED_VALUE"""),"")</f>
        <v/>
      </c>
    </row>
    <row r="800">
      <c r="A800" t="str">
        <f t="shared" si="1"/>
        <v/>
      </c>
      <c r="C800" t="str">
        <f>IFERROR(__xludf.DUMMYFUNCTION("""COMPUTED_VALUE"""),"")</f>
        <v/>
      </c>
    </row>
    <row r="801">
      <c r="A801" t="str">
        <f t="shared" si="1"/>
        <v/>
      </c>
      <c r="C801" t="str">
        <f>IFERROR(__xludf.DUMMYFUNCTION("""COMPUTED_VALUE"""),"")</f>
        <v/>
      </c>
    </row>
    <row r="802">
      <c r="A802" t="str">
        <f t="shared" si="1"/>
        <v/>
      </c>
      <c r="C802" t="str">
        <f>IFERROR(__xludf.DUMMYFUNCTION("""COMPUTED_VALUE"""),"")</f>
        <v/>
      </c>
    </row>
    <row r="803">
      <c r="A803" t="str">
        <f t="shared" si="1"/>
        <v/>
      </c>
      <c r="C803" t="str">
        <f>IFERROR(__xludf.DUMMYFUNCTION("""COMPUTED_VALUE"""),"")</f>
        <v/>
      </c>
    </row>
    <row r="804">
      <c r="A804" t="str">
        <f t="shared" si="1"/>
        <v/>
      </c>
      <c r="C804" t="str">
        <f>IFERROR(__xludf.DUMMYFUNCTION("""COMPUTED_VALUE"""),"")</f>
        <v/>
      </c>
    </row>
    <row r="805">
      <c r="A805" t="str">
        <f t="shared" si="1"/>
        <v/>
      </c>
      <c r="C805" t="str">
        <f>IFERROR(__xludf.DUMMYFUNCTION("""COMPUTED_VALUE"""),"")</f>
        <v/>
      </c>
    </row>
    <row r="806">
      <c r="A806" t="str">
        <f t="shared" si="1"/>
        <v/>
      </c>
      <c r="C806" t="str">
        <f>IFERROR(__xludf.DUMMYFUNCTION("""COMPUTED_VALUE"""),"")</f>
        <v/>
      </c>
    </row>
    <row r="807">
      <c r="A807" t="str">
        <f t="shared" si="1"/>
        <v/>
      </c>
      <c r="C807" t="str">
        <f>IFERROR(__xludf.DUMMYFUNCTION("""COMPUTED_VALUE"""),"")</f>
        <v/>
      </c>
    </row>
    <row r="808">
      <c r="A808" t="str">
        <f t="shared" si="1"/>
        <v/>
      </c>
      <c r="C808" t="str">
        <f>IFERROR(__xludf.DUMMYFUNCTION("""COMPUTED_VALUE"""),"")</f>
        <v/>
      </c>
    </row>
    <row r="809">
      <c r="A809" t="str">
        <f t="shared" si="1"/>
        <v/>
      </c>
      <c r="C809" t="str">
        <f>IFERROR(__xludf.DUMMYFUNCTION("""COMPUTED_VALUE"""),"")</f>
        <v/>
      </c>
    </row>
    <row r="810">
      <c r="A810" t="str">
        <f t="shared" si="1"/>
        <v/>
      </c>
      <c r="C810" t="str">
        <f>IFERROR(__xludf.DUMMYFUNCTION("""COMPUTED_VALUE"""),"")</f>
        <v/>
      </c>
    </row>
    <row r="811">
      <c r="A811" t="str">
        <f t="shared" si="1"/>
        <v/>
      </c>
      <c r="C811" t="str">
        <f>IFERROR(__xludf.DUMMYFUNCTION("""COMPUTED_VALUE"""),"")</f>
        <v/>
      </c>
    </row>
    <row r="812">
      <c r="A812" t="str">
        <f t="shared" si="1"/>
        <v/>
      </c>
      <c r="C812" t="str">
        <f>IFERROR(__xludf.DUMMYFUNCTION("""COMPUTED_VALUE"""),"")</f>
        <v/>
      </c>
    </row>
    <row r="813">
      <c r="A813" t="str">
        <f t="shared" si="1"/>
        <v/>
      </c>
      <c r="C813" t="str">
        <f>IFERROR(__xludf.DUMMYFUNCTION("""COMPUTED_VALUE"""),"")</f>
        <v/>
      </c>
    </row>
    <row r="814">
      <c r="A814" t="str">
        <f t="shared" si="1"/>
        <v/>
      </c>
      <c r="C814" t="str">
        <f>IFERROR(__xludf.DUMMYFUNCTION("""COMPUTED_VALUE"""),"")</f>
        <v/>
      </c>
    </row>
    <row r="815">
      <c r="A815" t="str">
        <f t="shared" si="1"/>
        <v/>
      </c>
      <c r="C815" t="str">
        <f>IFERROR(__xludf.DUMMYFUNCTION("""COMPUTED_VALUE"""),"")</f>
        <v/>
      </c>
    </row>
    <row r="816">
      <c r="A816" t="str">
        <f t="shared" si="1"/>
        <v/>
      </c>
      <c r="C816" t="str">
        <f>IFERROR(__xludf.DUMMYFUNCTION("""COMPUTED_VALUE"""),"")</f>
        <v/>
      </c>
    </row>
    <row r="817">
      <c r="A817" t="str">
        <f t="shared" si="1"/>
        <v/>
      </c>
      <c r="C817" t="str">
        <f>IFERROR(__xludf.DUMMYFUNCTION("""COMPUTED_VALUE"""),"")</f>
        <v/>
      </c>
    </row>
    <row r="818">
      <c r="A818" t="str">
        <f t="shared" si="1"/>
        <v/>
      </c>
      <c r="C818" t="str">
        <f>IFERROR(__xludf.DUMMYFUNCTION("""COMPUTED_VALUE"""),"")</f>
        <v/>
      </c>
    </row>
    <row r="819">
      <c r="A819" t="str">
        <f t="shared" si="1"/>
        <v/>
      </c>
      <c r="C819" t="str">
        <f>IFERROR(__xludf.DUMMYFUNCTION("""COMPUTED_VALUE"""),"")</f>
        <v/>
      </c>
    </row>
    <row r="820">
      <c r="A820" t="str">
        <f t="shared" si="1"/>
        <v/>
      </c>
      <c r="C820" t="str">
        <f>IFERROR(__xludf.DUMMYFUNCTION("""COMPUTED_VALUE"""),"")</f>
        <v/>
      </c>
    </row>
    <row r="821">
      <c r="A821" t="str">
        <f t="shared" si="1"/>
        <v/>
      </c>
      <c r="C821" t="str">
        <f>IFERROR(__xludf.DUMMYFUNCTION("""COMPUTED_VALUE"""),"")</f>
        <v/>
      </c>
    </row>
    <row r="822">
      <c r="A822" t="str">
        <f t="shared" si="1"/>
        <v/>
      </c>
      <c r="C822" t="str">
        <f>IFERROR(__xludf.DUMMYFUNCTION("""COMPUTED_VALUE"""),"")</f>
        <v/>
      </c>
    </row>
    <row r="823">
      <c r="A823" t="str">
        <f t="shared" si="1"/>
        <v/>
      </c>
      <c r="C823" t="str">
        <f>IFERROR(__xludf.DUMMYFUNCTION("""COMPUTED_VALUE"""),"")</f>
        <v/>
      </c>
    </row>
    <row r="824">
      <c r="A824" t="str">
        <f t="shared" si="1"/>
        <v/>
      </c>
      <c r="C824" t="str">
        <f>IFERROR(__xludf.DUMMYFUNCTION("""COMPUTED_VALUE"""),"")</f>
        <v/>
      </c>
    </row>
    <row r="825">
      <c r="A825" t="str">
        <f t="shared" si="1"/>
        <v/>
      </c>
      <c r="C825" t="str">
        <f>IFERROR(__xludf.DUMMYFUNCTION("""COMPUTED_VALUE"""),"")</f>
        <v/>
      </c>
    </row>
    <row r="826">
      <c r="A826" t="str">
        <f t="shared" si="1"/>
        <v/>
      </c>
      <c r="C826" t="str">
        <f>IFERROR(__xludf.DUMMYFUNCTION("""COMPUTED_VALUE"""),"")</f>
        <v/>
      </c>
    </row>
    <row r="827">
      <c r="A827" t="str">
        <f t="shared" si="1"/>
        <v/>
      </c>
      <c r="C827" t="str">
        <f>IFERROR(__xludf.DUMMYFUNCTION("""COMPUTED_VALUE"""),"")</f>
        <v/>
      </c>
    </row>
    <row r="828">
      <c r="A828" t="str">
        <f t="shared" si="1"/>
        <v/>
      </c>
      <c r="C828" t="str">
        <f>IFERROR(__xludf.DUMMYFUNCTION("""COMPUTED_VALUE"""),"")</f>
        <v/>
      </c>
    </row>
    <row r="829">
      <c r="A829" t="str">
        <f t="shared" si="1"/>
        <v/>
      </c>
      <c r="C829" t="str">
        <f>IFERROR(__xludf.DUMMYFUNCTION("""COMPUTED_VALUE"""),"")</f>
        <v/>
      </c>
    </row>
    <row r="830">
      <c r="A830" t="str">
        <f t="shared" si="1"/>
        <v/>
      </c>
      <c r="C830" t="str">
        <f>IFERROR(__xludf.DUMMYFUNCTION("""COMPUTED_VALUE"""),"")</f>
        <v/>
      </c>
    </row>
    <row r="831">
      <c r="A831" t="str">
        <f t="shared" si="1"/>
        <v/>
      </c>
      <c r="C831" t="str">
        <f>IFERROR(__xludf.DUMMYFUNCTION("""COMPUTED_VALUE"""),"")</f>
        <v/>
      </c>
    </row>
    <row r="832">
      <c r="A832" t="str">
        <f t="shared" si="1"/>
        <v/>
      </c>
      <c r="C832" t="str">
        <f>IFERROR(__xludf.DUMMYFUNCTION("""COMPUTED_VALUE"""),"")</f>
        <v/>
      </c>
    </row>
    <row r="833">
      <c r="A833" t="str">
        <f t="shared" si="1"/>
        <v/>
      </c>
      <c r="C833" t="str">
        <f>IFERROR(__xludf.DUMMYFUNCTION("""COMPUTED_VALUE"""),"")</f>
        <v/>
      </c>
    </row>
    <row r="834">
      <c r="A834" t="str">
        <f t="shared" si="1"/>
        <v/>
      </c>
      <c r="C834" t="str">
        <f>IFERROR(__xludf.DUMMYFUNCTION("""COMPUTED_VALUE"""),"")</f>
        <v/>
      </c>
    </row>
    <row r="835">
      <c r="A835" t="str">
        <f t="shared" si="1"/>
        <v/>
      </c>
      <c r="C835" t="str">
        <f>IFERROR(__xludf.DUMMYFUNCTION("""COMPUTED_VALUE"""),"")</f>
        <v/>
      </c>
    </row>
    <row r="836">
      <c r="A836" t="str">
        <f t="shared" si="1"/>
        <v/>
      </c>
      <c r="C836" t="str">
        <f>IFERROR(__xludf.DUMMYFUNCTION("""COMPUTED_VALUE"""),"")</f>
        <v/>
      </c>
    </row>
    <row r="837">
      <c r="A837" t="str">
        <f t="shared" si="1"/>
        <v/>
      </c>
      <c r="C837" t="str">
        <f>IFERROR(__xludf.DUMMYFUNCTION("""COMPUTED_VALUE"""),"")</f>
        <v/>
      </c>
    </row>
    <row r="838">
      <c r="A838" t="str">
        <f t="shared" si="1"/>
        <v/>
      </c>
      <c r="C838" t="str">
        <f>IFERROR(__xludf.DUMMYFUNCTION("""COMPUTED_VALUE"""),"")</f>
        <v/>
      </c>
    </row>
    <row r="839">
      <c r="A839" t="str">
        <f t="shared" si="1"/>
        <v/>
      </c>
      <c r="C839" t="str">
        <f>IFERROR(__xludf.DUMMYFUNCTION("""COMPUTED_VALUE"""),"")</f>
        <v/>
      </c>
    </row>
    <row r="840">
      <c r="A840" t="str">
        <f t="shared" si="1"/>
        <v/>
      </c>
      <c r="C840" t="str">
        <f>IFERROR(__xludf.DUMMYFUNCTION("""COMPUTED_VALUE"""),"")</f>
        <v/>
      </c>
    </row>
    <row r="841">
      <c r="A841" t="str">
        <f t="shared" si="1"/>
        <v/>
      </c>
      <c r="C841" t="str">
        <f>IFERROR(__xludf.DUMMYFUNCTION("""COMPUTED_VALUE"""),"")</f>
        <v/>
      </c>
    </row>
    <row r="842">
      <c r="A842" t="str">
        <f t="shared" si="1"/>
        <v/>
      </c>
      <c r="C842" t="str">
        <f>IFERROR(__xludf.DUMMYFUNCTION("""COMPUTED_VALUE"""),"")</f>
        <v/>
      </c>
    </row>
    <row r="843">
      <c r="A843" t="str">
        <f t="shared" si="1"/>
        <v/>
      </c>
      <c r="C843" t="str">
        <f>IFERROR(__xludf.DUMMYFUNCTION("""COMPUTED_VALUE"""),"")</f>
        <v/>
      </c>
    </row>
    <row r="844">
      <c r="A844" t="str">
        <f t="shared" si="1"/>
        <v/>
      </c>
      <c r="C844" t="str">
        <f>IFERROR(__xludf.DUMMYFUNCTION("""COMPUTED_VALUE"""),"")</f>
        <v/>
      </c>
    </row>
    <row r="845">
      <c r="A845" t="str">
        <f t="shared" si="1"/>
        <v/>
      </c>
      <c r="C845" t="str">
        <f>IFERROR(__xludf.DUMMYFUNCTION("""COMPUTED_VALUE"""),"")</f>
        <v/>
      </c>
    </row>
    <row r="846">
      <c r="A846" t="str">
        <f t="shared" si="1"/>
        <v/>
      </c>
      <c r="C846" t="str">
        <f>IFERROR(__xludf.DUMMYFUNCTION("""COMPUTED_VALUE"""),"")</f>
        <v/>
      </c>
    </row>
    <row r="847">
      <c r="A847" t="str">
        <f t="shared" si="1"/>
        <v/>
      </c>
      <c r="C847" t="str">
        <f>IFERROR(__xludf.DUMMYFUNCTION("""COMPUTED_VALUE"""),"")</f>
        <v/>
      </c>
    </row>
    <row r="848">
      <c r="A848" t="str">
        <f t="shared" si="1"/>
        <v/>
      </c>
      <c r="C848" t="str">
        <f>IFERROR(__xludf.DUMMYFUNCTION("""COMPUTED_VALUE"""),"")</f>
        <v/>
      </c>
    </row>
    <row r="849">
      <c r="A849" t="str">
        <f t="shared" si="1"/>
        <v/>
      </c>
      <c r="C849" t="str">
        <f>IFERROR(__xludf.DUMMYFUNCTION("""COMPUTED_VALUE"""),"")</f>
        <v/>
      </c>
    </row>
    <row r="850">
      <c r="A850" t="str">
        <f t="shared" si="1"/>
        <v/>
      </c>
      <c r="C850" t="str">
        <f>IFERROR(__xludf.DUMMYFUNCTION("""COMPUTED_VALUE"""),"")</f>
        <v/>
      </c>
    </row>
    <row r="851">
      <c r="A851" t="str">
        <f t="shared" si="1"/>
        <v/>
      </c>
      <c r="C851" t="str">
        <f>IFERROR(__xludf.DUMMYFUNCTION("""COMPUTED_VALUE"""),"")</f>
        <v/>
      </c>
    </row>
    <row r="852">
      <c r="A852" t="str">
        <f t="shared" si="1"/>
        <v/>
      </c>
      <c r="C852" t="str">
        <f>IFERROR(__xludf.DUMMYFUNCTION("""COMPUTED_VALUE"""),"")</f>
        <v/>
      </c>
    </row>
    <row r="853">
      <c r="A853" t="str">
        <f t="shared" si="1"/>
        <v/>
      </c>
      <c r="C853" t="str">
        <f>IFERROR(__xludf.DUMMYFUNCTION("""COMPUTED_VALUE"""),"")</f>
        <v/>
      </c>
    </row>
    <row r="854">
      <c r="A854" t="str">
        <f t="shared" si="1"/>
        <v/>
      </c>
      <c r="C854" t="str">
        <f>IFERROR(__xludf.DUMMYFUNCTION("""COMPUTED_VALUE"""),"")</f>
        <v/>
      </c>
    </row>
    <row r="855">
      <c r="A855" t="str">
        <f t="shared" si="1"/>
        <v/>
      </c>
      <c r="C855" t="str">
        <f>IFERROR(__xludf.DUMMYFUNCTION("""COMPUTED_VALUE"""),"")</f>
        <v/>
      </c>
    </row>
    <row r="856">
      <c r="A856" t="str">
        <f t="shared" si="1"/>
        <v/>
      </c>
      <c r="C856" t="str">
        <f>IFERROR(__xludf.DUMMYFUNCTION("""COMPUTED_VALUE"""),"")</f>
        <v/>
      </c>
    </row>
    <row r="857">
      <c r="A857" t="str">
        <f t="shared" si="1"/>
        <v/>
      </c>
      <c r="C857" t="str">
        <f>IFERROR(__xludf.DUMMYFUNCTION("""COMPUTED_VALUE"""),"")</f>
        <v/>
      </c>
    </row>
    <row r="858">
      <c r="A858" t="str">
        <f t="shared" si="1"/>
        <v/>
      </c>
      <c r="C858" t="str">
        <f>IFERROR(__xludf.DUMMYFUNCTION("""COMPUTED_VALUE"""),"")</f>
        <v/>
      </c>
    </row>
    <row r="859">
      <c r="A859" t="str">
        <f t="shared" si="1"/>
        <v/>
      </c>
      <c r="C859" t="str">
        <f>IFERROR(__xludf.DUMMYFUNCTION("""COMPUTED_VALUE"""),"")</f>
        <v/>
      </c>
    </row>
    <row r="860">
      <c r="A860" t="str">
        <f t="shared" si="1"/>
        <v/>
      </c>
      <c r="C860" t="str">
        <f>IFERROR(__xludf.DUMMYFUNCTION("""COMPUTED_VALUE"""),"")</f>
        <v/>
      </c>
    </row>
    <row r="861">
      <c r="A861" t="str">
        <f t="shared" si="1"/>
        <v/>
      </c>
      <c r="C861" t="str">
        <f>IFERROR(__xludf.DUMMYFUNCTION("""COMPUTED_VALUE"""),"")</f>
        <v/>
      </c>
    </row>
    <row r="862">
      <c r="A862" t="str">
        <f t="shared" si="1"/>
        <v/>
      </c>
      <c r="C862" t="str">
        <f>IFERROR(__xludf.DUMMYFUNCTION("""COMPUTED_VALUE"""),"")</f>
        <v/>
      </c>
    </row>
    <row r="863">
      <c r="A863" t="str">
        <f t="shared" si="1"/>
        <v/>
      </c>
      <c r="C863" t="str">
        <f>IFERROR(__xludf.DUMMYFUNCTION("""COMPUTED_VALUE"""),"")</f>
        <v/>
      </c>
    </row>
    <row r="864">
      <c r="A864" t="str">
        <f t="shared" si="1"/>
        <v/>
      </c>
      <c r="C864" t="str">
        <f>IFERROR(__xludf.DUMMYFUNCTION("""COMPUTED_VALUE"""),"")</f>
        <v/>
      </c>
    </row>
    <row r="865">
      <c r="A865" t="str">
        <f t="shared" si="1"/>
        <v/>
      </c>
      <c r="C865" t="str">
        <f>IFERROR(__xludf.DUMMYFUNCTION("""COMPUTED_VALUE"""),"")</f>
        <v/>
      </c>
    </row>
    <row r="866">
      <c r="A866" t="str">
        <f t="shared" si="1"/>
        <v/>
      </c>
      <c r="C866" t="str">
        <f>IFERROR(__xludf.DUMMYFUNCTION("""COMPUTED_VALUE"""),"")</f>
        <v/>
      </c>
    </row>
    <row r="867">
      <c r="A867" t="str">
        <f t="shared" si="1"/>
        <v/>
      </c>
      <c r="C867" t="str">
        <f>IFERROR(__xludf.DUMMYFUNCTION("""COMPUTED_VALUE"""),"")</f>
        <v/>
      </c>
    </row>
    <row r="868">
      <c r="A868" t="str">
        <f t="shared" si="1"/>
        <v/>
      </c>
      <c r="C868" t="str">
        <f>IFERROR(__xludf.DUMMYFUNCTION("""COMPUTED_VALUE"""),"")</f>
        <v/>
      </c>
    </row>
    <row r="869">
      <c r="A869" t="str">
        <f t="shared" si="1"/>
        <v/>
      </c>
      <c r="C869" t="str">
        <f>IFERROR(__xludf.DUMMYFUNCTION("""COMPUTED_VALUE"""),"")</f>
        <v/>
      </c>
    </row>
    <row r="870">
      <c r="A870" t="str">
        <f t="shared" si="1"/>
        <v/>
      </c>
      <c r="C870" t="str">
        <f>IFERROR(__xludf.DUMMYFUNCTION("""COMPUTED_VALUE"""),"")</f>
        <v/>
      </c>
    </row>
    <row r="871">
      <c r="A871" t="str">
        <f t="shared" si="1"/>
        <v/>
      </c>
      <c r="C871" t="str">
        <f>IFERROR(__xludf.DUMMYFUNCTION("""COMPUTED_VALUE"""),"")</f>
        <v/>
      </c>
    </row>
    <row r="872">
      <c r="A872" t="str">
        <f t="shared" si="1"/>
        <v/>
      </c>
      <c r="C872" t="str">
        <f>IFERROR(__xludf.DUMMYFUNCTION("""COMPUTED_VALUE"""),"")</f>
        <v/>
      </c>
    </row>
    <row r="873">
      <c r="A873" t="str">
        <f t="shared" si="1"/>
        <v/>
      </c>
      <c r="C873" t="str">
        <f>IFERROR(__xludf.DUMMYFUNCTION("""COMPUTED_VALUE"""),"")</f>
        <v/>
      </c>
    </row>
    <row r="874">
      <c r="A874" t="str">
        <f t="shared" si="1"/>
        <v/>
      </c>
      <c r="C874" t="str">
        <f>IFERROR(__xludf.DUMMYFUNCTION("""COMPUTED_VALUE"""),"")</f>
        <v/>
      </c>
    </row>
    <row r="875">
      <c r="A875" t="str">
        <f t="shared" si="1"/>
        <v/>
      </c>
      <c r="C875" t="str">
        <f>IFERROR(__xludf.DUMMYFUNCTION("""COMPUTED_VALUE"""),"")</f>
        <v/>
      </c>
    </row>
    <row r="876">
      <c r="A876" t="str">
        <f t="shared" si="1"/>
        <v/>
      </c>
      <c r="C876" t="str">
        <f>IFERROR(__xludf.DUMMYFUNCTION("""COMPUTED_VALUE"""),"")</f>
        <v/>
      </c>
    </row>
    <row r="877">
      <c r="A877" t="str">
        <f t="shared" si="1"/>
        <v/>
      </c>
      <c r="C877" t="str">
        <f>IFERROR(__xludf.DUMMYFUNCTION("""COMPUTED_VALUE"""),"")</f>
        <v/>
      </c>
    </row>
    <row r="878">
      <c r="A878" t="str">
        <f t="shared" si="1"/>
        <v/>
      </c>
      <c r="C878" t="str">
        <f>IFERROR(__xludf.DUMMYFUNCTION("""COMPUTED_VALUE"""),"")</f>
        <v/>
      </c>
    </row>
    <row r="879">
      <c r="A879" t="str">
        <f t="shared" si="1"/>
        <v/>
      </c>
      <c r="C879" t="str">
        <f>IFERROR(__xludf.DUMMYFUNCTION("""COMPUTED_VALUE"""),"")</f>
        <v/>
      </c>
    </row>
    <row r="880">
      <c r="A880" t="str">
        <f t="shared" si="1"/>
        <v/>
      </c>
      <c r="C880" t="str">
        <f>IFERROR(__xludf.DUMMYFUNCTION("""COMPUTED_VALUE"""),"")</f>
        <v/>
      </c>
    </row>
    <row r="881">
      <c r="A881" t="str">
        <f t="shared" si="1"/>
        <v/>
      </c>
      <c r="C881" t="str">
        <f>IFERROR(__xludf.DUMMYFUNCTION("""COMPUTED_VALUE"""),"")</f>
        <v/>
      </c>
    </row>
    <row r="882">
      <c r="A882" t="str">
        <f t="shared" si="1"/>
        <v/>
      </c>
      <c r="C882" t="str">
        <f>IFERROR(__xludf.DUMMYFUNCTION("""COMPUTED_VALUE"""),"")</f>
        <v/>
      </c>
    </row>
    <row r="883">
      <c r="A883" t="str">
        <f t="shared" si="1"/>
        <v/>
      </c>
      <c r="C883" t="str">
        <f>IFERROR(__xludf.DUMMYFUNCTION("""COMPUTED_VALUE"""),"")</f>
        <v/>
      </c>
    </row>
    <row r="884">
      <c r="A884" t="str">
        <f t="shared" si="1"/>
        <v/>
      </c>
      <c r="C884" t="str">
        <f>IFERROR(__xludf.DUMMYFUNCTION("""COMPUTED_VALUE"""),"")</f>
        <v/>
      </c>
    </row>
    <row r="885">
      <c r="A885" t="str">
        <f t="shared" si="1"/>
        <v/>
      </c>
      <c r="C885" t="str">
        <f>IFERROR(__xludf.DUMMYFUNCTION("""COMPUTED_VALUE"""),"")</f>
        <v/>
      </c>
    </row>
    <row r="886">
      <c r="A886" t="str">
        <f t="shared" si="1"/>
        <v/>
      </c>
      <c r="C886" t="str">
        <f>IFERROR(__xludf.DUMMYFUNCTION("""COMPUTED_VALUE"""),"")</f>
        <v/>
      </c>
    </row>
    <row r="887">
      <c r="A887" t="str">
        <f t="shared" si="1"/>
        <v/>
      </c>
      <c r="C887" t="str">
        <f>IFERROR(__xludf.DUMMYFUNCTION("""COMPUTED_VALUE"""),"")</f>
        <v/>
      </c>
    </row>
    <row r="888">
      <c r="A888" t="str">
        <f t="shared" si="1"/>
        <v/>
      </c>
      <c r="C888" t="str">
        <f>IFERROR(__xludf.DUMMYFUNCTION("""COMPUTED_VALUE"""),"")</f>
        <v/>
      </c>
    </row>
    <row r="889">
      <c r="A889" t="str">
        <f t="shared" si="1"/>
        <v/>
      </c>
      <c r="C889" t="str">
        <f>IFERROR(__xludf.DUMMYFUNCTION("""COMPUTED_VALUE"""),"")</f>
        <v/>
      </c>
    </row>
    <row r="890">
      <c r="A890" t="str">
        <f t="shared" si="1"/>
        <v/>
      </c>
      <c r="C890" t="str">
        <f>IFERROR(__xludf.DUMMYFUNCTION("""COMPUTED_VALUE"""),"")</f>
        <v/>
      </c>
    </row>
    <row r="891">
      <c r="A891" t="str">
        <f t="shared" si="1"/>
        <v/>
      </c>
      <c r="C891" t="str">
        <f>IFERROR(__xludf.DUMMYFUNCTION("""COMPUTED_VALUE"""),"")</f>
        <v/>
      </c>
    </row>
    <row r="892">
      <c r="A892" t="str">
        <f t="shared" si="1"/>
        <v/>
      </c>
      <c r="C892" t="str">
        <f>IFERROR(__xludf.DUMMYFUNCTION("""COMPUTED_VALUE"""),"")</f>
        <v/>
      </c>
    </row>
    <row r="893">
      <c r="A893" t="str">
        <f t="shared" si="1"/>
        <v/>
      </c>
      <c r="C893" t="str">
        <f>IFERROR(__xludf.DUMMYFUNCTION("""COMPUTED_VALUE"""),"")</f>
        <v/>
      </c>
    </row>
    <row r="894">
      <c r="A894" t="str">
        <f t="shared" si="1"/>
        <v/>
      </c>
      <c r="C894" t="str">
        <f>IFERROR(__xludf.DUMMYFUNCTION("""COMPUTED_VALUE"""),"")</f>
        <v/>
      </c>
    </row>
    <row r="895">
      <c r="A895" t="str">
        <f t="shared" si="1"/>
        <v/>
      </c>
      <c r="C895" t="str">
        <f>IFERROR(__xludf.DUMMYFUNCTION("""COMPUTED_VALUE"""),"")</f>
        <v/>
      </c>
    </row>
    <row r="896">
      <c r="A896" t="str">
        <f t="shared" si="1"/>
        <v/>
      </c>
      <c r="C896" t="str">
        <f>IFERROR(__xludf.DUMMYFUNCTION("""COMPUTED_VALUE"""),"")</f>
        <v/>
      </c>
    </row>
    <row r="897">
      <c r="A897" t="str">
        <f t="shared" si="1"/>
        <v/>
      </c>
      <c r="C897" t="str">
        <f>IFERROR(__xludf.DUMMYFUNCTION("""COMPUTED_VALUE"""),"")</f>
        <v/>
      </c>
    </row>
    <row r="898">
      <c r="A898" t="str">
        <f t="shared" si="1"/>
        <v/>
      </c>
      <c r="C898" t="str">
        <f>IFERROR(__xludf.DUMMYFUNCTION("""COMPUTED_VALUE"""),"")</f>
        <v/>
      </c>
    </row>
    <row r="899">
      <c r="A899" t="str">
        <f t="shared" si="1"/>
        <v/>
      </c>
      <c r="C899" t="str">
        <f>IFERROR(__xludf.DUMMYFUNCTION("""COMPUTED_VALUE"""),"")</f>
        <v/>
      </c>
    </row>
    <row r="900">
      <c r="A900" t="str">
        <f t="shared" si="1"/>
        <v/>
      </c>
      <c r="C900" t="str">
        <f>IFERROR(__xludf.DUMMYFUNCTION("""COMPUTED_VALUE"""),"")</f>
        <v/>
      </c>
    </row>
    <row r="901">
      <c r="A901" t="str">
        <f t="shared" si="1"/>
        <v/>
      </c>
      <c r="C901" t="str">
        <f>IFERROR(__xludf.DUMMYFUNCTION("""COMPUTED_VALUE"""),"")</f>
        <v/>
      </c>
    </row>
    <row r="902">
      <c r="A902" t="str">
        <f t="shared" si="1"/>
        <v/>
      </c>
      <c r="C902" t="str">
        <f>IFERROR(__xludf.DUMMYFUNCTION("""COMPUTED_VALUE"""),"")</f>
        <v/>
      </c>
    </row>
    <row r="903">
      <c r="A903" t="str">
        <f t="shared" si="1"/>
        <v/>
      </c>
      <c r="C903" t="str">
        <f>IFERROR(__xludf.DUMMYFUNCTION("""COMPUTED_VALUE"""),"")</f>
        <v/>
      </c>
    </row>
    <row r="904">
      <c r="A904" t="str">
        <f t="shared" si="1"/>
        <v/>
      </c>
      <c r="C904" t="str">
        <f>IFERROR(__xludf.DUMMYFUNCTION("""COMPUTED_VALUE"""),"")</f>
        <v/>
      </c>
    </row>
    <row r="905">
      <c r="A905" t="str">
        <f t="shared" si="1"/>
        <v/>
      </c>
      <c r="C905" t="str">
        <f>IFERROR(__xludf.DUMMYFUNCTION("""COMPUTED_VALUE"""),"")</f>
        <v/>
      </c>
    </row>
    <row r="906">
      <c r="A906" t="str">
        <f t="shared" si="1"/>
        <v/>
      </c>
      <c r="C906" t="str">
        <f>IFERROR(__xludf.DUMMYFUNCTION("""COMPUTED_VALUE"""),"")</f>
        <v/>
      </c>
    </row>
    <row r="907">
      <c r="A907" t="str">
        <f t="shared" si="1"/>
        <v/>
      </c>
      <c r="C907" t="str">
        <f>IFERROR(__xludf.DUMMYFUNCTION("""COMPUTED_VALUE"""),"")</f>
        <v/>
      </c>
    </row>
    <row r="908">
      <c r="A908" t="str">
        <f t="shared" si="1"/>
        <v/>
      </c>
      <c r="C908" t="str">
        <f>IFERROR(__xludf.DUMMYFUNCTION("""COMPUTED_VALUE"""),"")</f>
        <v/>
      </c>
    </row>
    <row r="909">
      <c r="A909" t="str">
        <f t="shared" si="1"/>
        <v/>
      </c>
      <c r="C909" t="str">
        <f>IFERROR(__xludf.DUMMYFUNCTION("""COMPUTED_VALUE"""),"")</f>
        <v/>
      </c>
    </row>
    <row r="910">
      <c r="A910" t="str">
        <f t="shared" si="1"/>
        <v/>
      </c>
      <c r="C910" t="str">
        <f>IFERROR(__xludf.DUMMYFUNCTION("""COMPUTED_VALUE"""),"")</f>
        <v/>
      </c>
    </row>
    <row r="911">
      <c r="A911" t="str">
        <f t="shared" si="1"/>
        <v/>
      </c>
      <c r="C911" t="str">
        <f>IFERROR(__xludf.DUMMYFUNCTION("""COMPUTED_VALUE"""),"")</f>
        <v/>
      </c>
    </row>
    <row r="912">
      <c r="A912" t="str">
        <f t="shared" si="1"/>
        <v/>
      </c>
      <c r="C912" t="str">
        <f>IFERROR(__xludf.DUMMYFUNCTION("""COMPUTED_VALUE"""),"")</f>
        <v/>
      </c>
    </row>
    <row r="913">
      <c r="A913" t="str">
        <f t="shared" si="1"/>
        <v/>
      </c>
      <c r="C913" t="str">
        <f>IFERROR(__xludf.DUMMYFUNCTION("""COMPUTED_VALUE"""),"")</f>
        <v/>
      </c>
    </row>
    <row r="914">
      <c r="A914" t="str">
        <f t="shared" si="1"/>
        <v/>
      </c>
      <c r="C914" t="str">
        <f>IFERROR(__xludf.DUMMYFUNCTION("""COMPUTED_VALUE"""),"")</f>
        <v/>
      </c>
    </row>
    <row r="915">
      <c r="A915" t="str">
        <f t="shared" si="1"/>
        <v/>
      </c>
      <c r="C915" t="str">
        <f>IFERROR(__xludf.DUMMYFUNCTION("""COMPUTED_VALUE"""),"")</f>
        <v/>
      </c>
    </row>
    <row r="916">
      <c r="A916" t="str">
        <f t="shared" si="1"/>
        <v/>
      </c>
      <c r="C916" t="str">
        <f>IFERROR(__xludf.DUMMYFUNCTION("""COMPUTED_VALUE"""),"")</f>
        <v/>
      </c>
    </row>
    <row r="917">
      <c r="A917" t="str">
        <f t="shared" si="1"/>
        <v/>
      </c>
      <c r="C917" t="str">
        <f>IFERROR(__xludf.DUMMYFUNCTION("""COMPUTED_VALUE"""),"")</f>
        <v/>
      </c>
    </row>
    <row r="918">
      <c r="A918" t="str">
        <f t="shared" si="1"/>
        <v/>
      </c>
      <c r="C918" t="str">
        <f>IFERROR(__xludf.DUMMYFUNCTION("""COMPUTED_VALUE"""),"")</f>
        <v/>
      </c>
    </row>
    <row r="919">
      <c r="A919" t="str">
        <f t="shared" si="1"/>
        <v/>
      </c>
      <c r="C919" t="str">
        <f>IFERROR(__xludf.DUMMYFUNCTION("""COMPUTED_VALUE"""),"")</f>
        <v/>
      </c>
    </row>
    <row r="920">
      <c r="A920" t="str">
        <f t="shared" si="1"/>
        <v/>
      </c>
      <c r="C920" t="str">
        <f>IFERROR(__xludf.DUMMYFUNCTION("""COMPUTED_VALUE"""),"")</f>
        <v/>
      </c>
    </row>
    <row r="921">
      <c r="A921" t="str">
        <f t="shared" si="1"/>
        <v/>
      </c>
      <c r="C921" t="str">
        <f>IFERROR(__xludf.DUMMYFUNCTION("""COMPUTED_VALUE"""),"")</f>
        <v/>
      </c>
    </row>
    <row r="922">
      <c r="A922" t="str">
        <f t="shared" si="1"/>
        <v/>
      </c>
      <c r="C922" t="str">
        <f>IFERROR(__xludf.DUMMYFUNCTION("""COMPUTED_VALUE"""),"")</f>
        <v/>
      </c>
    </row>
    <row r="923">
      <c r="A923" t="str">
        <f t="shared" si="1"/>
        <v/>
      </c>
      <c r="C923" t="str">
        <f>IFERROR(__xludf.DUMMYFUNCTION("""COMPUTED_VALUE"""),"")</f>
        <v/>
      </c>
    </row>
    <row r="924">
      <c r="A924" t="str">
        <f t="shared" si="1"/>
        <v/>
      </c>
      <c r="C924" t="str">
        <f>IFERROR(__xludf.DUMMYFUNCTION("""COMPUTED_VALUE"""),"")</f>
        <v/>
      </c>
    </row>
    <row r="925">
      <c r="A925" t="str">
        <f t="shared" si="1"/>
        <v/>
      </c>
      <c r="C925" t="str">
        <f>IFERROR(__xludf.DUMMYFUNCTION("""COMPUTED_VALUE"""),"")</f>
        <v/>
      </c>
    </row>
    <row r="926">
      <c r="A926" t="str">
        <f t="shared" si="1"/>
        <v/>
      </c>
      <c r="C926" t="str">
        <f>IFERROR(__xludf.DUMMYFUNCTION("""COMPUTED_VALUE"""),"")</f>
        <v/>
      </c>
    </row>
    <row r="927">
      <c r="A927" t="str">
        <f t="shared" si="1"/>
        <v/>
      </c>
      <c r="C927" t="str">
        <f>IFERROR(__xludf.DUMMYFUNCTION("""COMPUTED_VALUE"""),"")</f>
        <v/>
      </c>
    </row>
    <row r="928">
      <c r="A928" t="str">
        <f t="shared" si="1"/>
        <v/>
      </c>
      <c r="C928" t="str">
        <f>IFERROR(__xludf.DUMMYFUNCTION("""COMPUTED_VALUE"""),"")</f>
        <v/>
      </c>
    </row>
    <row r="929">
      <c r="A929" t="str">
        <f t="shared" si="1"/>
        <v/>
      </c>
      <c r="C929" t="str">
        <f>IFERROR(__xludf.DUMMYFUNCTION("""COMPUTED_VALUE"""),"")</f>
        <v/>
      </c>
    </row>
    <row r="930">
      <c r="A930" t="str">
        <f t="shared" si="1"/>
        <v/>
      </c>
      <c r="C930" t="str">
        <f>IFERROR(__xludf.DUMMYFUNCTION("""COMPUTED_VALUE"""),"")</f>
        <v/>
      </c>
    </row>
    <row r="931">
      <c r="A931" t="str">
        <f t="shared" si="1"/>
        <v/>
      </c>
      <c r="C931" t="str">
        <f>IFERROR(__xludf.DUMMYFUNCTION("""COMPUTED_VALUE"""),"")</f>
        <v/>
      </c>
    </row>
    <row r="932">
      <c r="A932" t="str">
        <f t="shared" si="1"/>
        <v/>
      </c>
      <c r="C932" t="str">
        <f>IFERROR(__xludf.DUMMYFUNCTION("""COMPUTED_VALUE"""),"")</f>
        <v/>
      </c>
    </row>
    <row r="933">
      <c r="A933" t="str">
        <f t="shared" si="1"/>
        <v/>
      </c>
      <c r="C933" t="str">
        <f>IFERROR(__xludf.DUMMYFUNCTION("""COMPUTED_VALUE"""),"")</f>
        <v/>
      </c>
    </row>
    <row r="934">
      <c r="A934" t="str">
        <f t="shared" si="1"/>
        <v/>
      </c>
      <c r="C934" t="str">
        <f>IFERROR(__xludf.DUMMYFUNCTION("""COMPUTED_VALUE"""),"")</f>
        <v/>
      </c>
    </row>
    <row r="935">
      <c r="A935" t="str">
        <f t="shared" si="1"/>
        <v/>
      </c>
      <c r="C935" t="str">
        <f>IFERROR(__xludf.DUMMYFUNCTION("""COMPUTED_VALUE"""),"")</f>
        <v/>
      </c>
    </row>
    <row r="936">
      <c r="A936" t="str">
        <f t="shared" si="1"/>
        <v/>
      </c>
      <c r="C936" t="str">
        <f>IFERROR(__xludf.DUMMYFUNCTION("""COMPUTED_VALUE"""),"")</f>
        <v/>
      </c>
    </row>
    <row r="937">
      <c r="A937" t="str">
        <f t="shared" si="1"/>
        <v/>
      </c>
      <c r="C937" t="str">
        <f>IFERROR(__xludf.DUMMYFUNCTION("""COMPUTED_VALUE"""),"")</f>
        <v/>
      </c>
    </row>
    <row r="938">
      <c r="A938" t="str">
        <f t="shared" si="1"/>
        <v/>
      </c>
      <c r="C938" t="str">
        <f>IFERROR(__xludf.DUMMYFUNCTION("""COMPUTED_VALUE"""),"")</f>
        <v/>
      </c>
    </row>
    <row r="939">
      <c r="A939" t="str">
        <f t="shared" si="1"/>
        <v/>
      </c>
      <c r="C939" t="str">
        <f>IFERROR(__xludf.DUMMYFUNCTION("""COMPUTED_VALUE"""),"")</f>
        <v/>
      </c>
    </row>
    <row r="940">
      <c r="A940" t="str">
        <f t="shared" si="1"/>
        <v/>
      </c>
      <c r="C940" t="str">
        <f>IFERROR(__xludf.DUMMYFUNCTION("""COMPUTED_VALUE"""),"")</f>
        <v/>
      </c>
    </row>
    <row r="941">
      <c r="A941" t="str">
        <f t="shared" si="1"/>
        <v/>
      </c>
      <c r="C941" t="str">
        <f>IFERROR(__xludf.DUMMYFUNCTION("""COMPUTED_VALUE"""),"")</f>
        <v/>
      </c>
    </row>
    <row r="942">
      <c r="A942" t="str">
        <f t="shared" si="1"/>
        <v/>
      </c>
      <c r="C942" t="str">
        <f>IFERROR(__xludf.DUMMYFUNCTION("""COMPUTED_VALUE"""),"")</f>
        <v/>
      </c>
    </row>
    <row r="943">
      <c r="A943" t="str">
        <f t="shared" si="1"/>
        <v/>
      </c>
      <c r="C943" t="str">
        <f>IFERROR(__xludf.DUMMYFUNCTION("""COMPUTED_VALUE"""),"")</f>
        <v/>
      </c>
    </row>
    <row r="944">
      <c r="A944" t="str">
        <f t="shared" si="1"/>
        <v/>
      </c>
      <c r="C944" t="str">
        <f>IFERROR(__xludf.DUMMYFUNCTION("""COMPUTED_VALUE"""),"")</f>
        <v/>
      </c>
    </row>
    <row r="945">
      <c r="A945" t="str">
        <f t="shared" si="1"/>
        <v/>
      </c>
      <c r="C945" t="str">
        <f>IFERROR(__xludf.DUMMYFUNCTION("""COMPUTED_VALUE"""),"")</f>
        <v/>
      </c>
    </row>
    <row r="946">
      <c r="A946" t="str">
        <f t="shared" si="1"/>
        <v/>
      </c>
      <c r="C946" t="str">
        <f>IFERROR(__xludf.DUMMYFUNCTION("""COMPUTED_VALUE"""),"")</f>
        <v/>
      </c>
    </row>
    <row r="947">
      <c r="A947" t="str">
        <f t="shared" si="1"/>
        <v/>
      </c>
      <c r="C947" t="str">
        <f>IFERROR(__xludf.DUMMYFUNCTION("""COMPUTED_VALUE"""),"")</f>
        <v/>
      </c>
    </row>
    <row r="948">
      <c r="A948" t="str">
        <f t="shared" si="1"/>
        <v/>
      </c>
      <c r="C948" t="str">
        <f>IFERROR(__xludf.DUMMYFUNCTION("""COMPUTED_VALUE"""),"")</f>
        <v/>
      </c>
    </row>
    <row r="949">
      <c r="A949" t="str">
        <f t="shared" si="1"/>
        <v/>
      </c>
      <c r="C949" t="str">
        <f>IFERROR(__xludf.DUMMYFUNCTION("""COMPUTED_VALUE"""),"")</f>
        <v/>
      </c>
    </row>
    <row r="950">
      <c r="A950" t="str">
        <f t="shared" si="1"/>
        <v/>
      </c>
      <c r="C950" t="str">
        <f>IFERROR(__xludf.DUMMYFUNCTION("""COMPUTED_VALUE"""),"")</f>
        <v/>
      </c>
    </row>
    <row r="951">
      <c r="A951" t="str">
        <f t="shared" si="1"/>
        <v/>
      </c>
      <c r="C951" t="str">
        <f>IFERROR(__xludf.DUMMYFUNCTION("""COMPUTED_VALUE"""),"")</f>
        <v/>
      </c>
    </row>
    <row r="952">
      <c r="A952" t="str">
        <f t="shared" si="1"/>
        <v/>
      </c>
      <c r="C952" t="str">
        <f>IFERROR(__xludf.DUMMYFUNCTION("""COMPUTED_VALUE"""),"")</f>
        <v/>
      </c>
    </row>
    <row r="953">
      <c r="A953" t="str">
        <f t="shared" si="1"/>
        <v/>
      </c>
      <c r="C953" t="str">
        <f>IFERROR(__xludf.DUMMYFUNCTION("""COMPUTED_VALUE"""),"")</f>
        <v/>
      </c>
    </row>
    <row r="954">
      <c r="A954" t="str">
        <f t="shared" si="1"/>
        <v/>
      </c>
      <c r="C954" t="str">
        <f>IFERROR(__xludf.DUMMYFUNCTION("""COMPUTED_VALUE"""),"")</f>
        <v/>
      </c>
    </row>
    <row r="955">
      <c r="A955" t="str">
        <f t="shared" si="1"/>
        <v/>
      </c>
      <c r="C955" t="str">
        <f>IFERROR(__xludf.DUMMYFUNCTION("""COMPUTED_VALUE"""),"")</f>
        <v/>
      </c>
    </row>
    <row r="956">
      <c r="A956" t="str">
        <f t="shared" si="1"/>
        <v/>
      </c>
      <c r="C956" t="str">
        <f>IFERROR(__xludf.DUMMYFUNCTION("""COMPUTED_VALUE"""),"")</f>
        <v/>
      </c>
    </row>
    <row r="957">
      <c r="A957" t="str">
        <f t="shared" si="1"/>
        <v/>
      </c>
      <c r="C957" t="str">
        <f>IFERROR(__xludf.DUMMYFUNCTION("""COMPUTED_VALUE"""),"")</f>
        <v/>
      </c>
    </row>
    <row r="958">
      <c r="A958" t="str">
        <f t="shared" si="1"/>
        <v/>
      </c>
      <c r="C958" t="str">
        <f>IFERROR(__xludf.DUMMYFUNCTION("""COMPUTED_VALUE"""),"")</f>
        <v/>
      </c>
    </row>
    <row r="959">
      <c r="A959" t="str">
        <f t="shared" si="1"/>
        <v/>
      </c>
      <c r="C959" t="str">
        <f>IFERROR(__xludf.DUMMYFUNCTION("""COMPUTED_VALUE"""),"")</f>
        <v/>
      </c>
    </row>
    <row r="960">
      <c r="A960" t="str">
        <f t="shared" si="1"/>
        <v/>
      </c>
      <c r="C960" t="str">
        <f>IFERROR(__xludf.DUMMYFUNCTION("""COMPUTED_VALUE"""),"")</f>
        <v/>
      </c>
    </row>
    <row r="961">
      <c r="A961" t="str">
        <f t="shared" si="1"/>
        <v/>
      </c>
      <c r="C961" t="str">
        <f>IFERROR(__xludf.DUMMYFUNCTION("""COMPUTED_VALUE"""),"")</f>
        <v/>
      </c>
    </row>
    <row r="962">
      <c r="A962" t="str">
        <f t="shared" si="1"/>
        <v/>
      </c>
      <c r="C962" t="str">
        <f>IFERROR(__xludf.DUMMYFUNCTION("""COMPUTED_VALUE"""),"")</f>
        <v/>
      </c>
    </row>
    <row r="963">
      <c r="A963" t="str">
        <f t="shared" si="1"/>
        <v/>
      </c>
      <c r="C963" t="str">
        <f>IFERROR(__xludf.DUMMYFUNCTION("""COMPUTED_VALUE"""),"")</f>
        <v/>
      </c>
    </row>
    <row r="964">
      <c r="A964" t="str">
        <f t="shared" si="1"/>
        <v/>
      </c>
      <c r="C964" t="str">
        <f>IFERROR(__xludf.DUMMYFUNCTION("""COMPUTED_VALUE"""),"")</f>
        <v/>
      </c>
    </row>
    <row r="965">
      <c r="A965" t="str">
        <f t="shared" si="1"/>
        <v/>
      </c>
      <c r="C965" t="str">
        <f>IFERROR(__xludf.DUMMYFUNCTION("""COMPUTED_VALUE"""),"")</f>
        <v/>
      </c>
    </row>
    <row r="966">
      <c r="A966" t="str">
        <f t="shared" si="1"/>
        <v/>
      </c>
      <c r="C966" t="str">
        <f>IFERROR(__xludf.DUMMYFUNCTION("""COMPUTED_VALUE"""),"")</f>
        <v/>
      </c>
    </row>
    <row r="967">
      <c r="A967" t="str">
        <f t="shared" si="1"/>
        <v/>
      </c>
      <c r="C967" t="str">
        <f>IFERROR(__xludf.DUMMYFUNCTION("""COMPUTED_VALUE"""),"")</f>
        <v/>
      </c>
    </row>
    <row r="968">
      <c r="A968" t="str">
        <f t="shared" si="1"/>
        <v/>
      </c>
      <c r="C968" t="str">
        <f>IFERROR(__xludf.DUMMYFUNCTION("""COMPUTED_VALUE"""),"")</f>
        <v/>
      </c>
    </row>
    <row r="969">
      <c r="A969" t="str">
        <f t="shared" si="1"/>
        <v/>
      </c>
      <c r="C969" t="str">
        <f>IFERROR(__xludf.DUMMYFUNCTION("""COMPUTED_VALUE"""),"")</f>
        <v/>
      </c>
    </row>
    <row r="970">
      <c r="A970" t="str">
        <f t="shared" si="1"/>
        <v/>
      </c>
      <c r="C970" t="str">
        <f>IFERROR(__xludf.DUMMYFUNCTION("""COMPUTED_VALUE"""),"")</f>
        <v/>
      </c>
    </row>
    <row r="971">
      <c r="A971" t="str">
        <f t="shared" si="1"/>
        <v/>
      </c>
      <c r="C971" t="str">
        <f>IFERROR(__xludf.DUMMYFUNCTION("""COMPUTED_VALUE"""),"")</f>
        <v/>
      </c>
    </row>
    <row r="972">
      <c r="A972" t="str">
        <f t="shared" si="1"/>
        <v/>
      </c>
      <c r="C972" t="str">
        <f>IFERROR(__xludf.DUMMYFUNCTION("""COMPUTED_VALUE"""),"")</f>
        <v/>
      </c>
    </row>
    <row r="973">
      <c r="A973" t="str">
        <f t="shared" si="1"/>
        <v/>
      </c>
      <c r="C973" t="str">
        <f>IFERROR(__xludf.DUMMYFUNCTION("""COMPUTED_VALUE"""),"")</f>
        <v/>
      </c>
    </row>
    <row r="974">
      <c r="A974" t="str">
        <f t="shared" si="1"/>
        <v/>
      </c>
      <c r="C974" t="str">
        <f>IFERROR(__xludf.DUMMYFUNCTION("""COMPUTED_VALUE"""),"")</f>
        <v/>
      </c>
    </row>
    <row r="975">
      <c r="A975" t="str">
        <f t="shared" si="1"/>
        <v/>
      </c>
      <c r="C975" t="str">
        <f>IFERROR(__xludf.DUMMYFUNCTION("""COMPUTED_VALUE"""),"")</f>
        <v/>
      </c>
    </row>
    <row r="976">
      <c r="A976" t="str">
        <f t="shared" si="1"/>
        <v/>
      </c>
      <c r="C976" t="str">
        <f>IFERROR(__xludf.DUMMYFUNCTION("""COMPUTED_VALUE"""),"")</f>
        <v/>
      </c>
    </row>
    <row r="977">
      <c r="A977" t="str">
        <f t="shared" si="1"/>
        <v/>
      </c>
      <c r="C977" t="str">
        <f>IFERROR(__xludf.DUMMYFUNCTION("""COMPUTED_VALUE"""),"")</f>
        <v/>
      </c>
    </row>
    <row r="978">
      <c r="A978" t="str">
        <f t="shared" si="1"/>
        <v/>
      </c>
      <c r="C978" t="str">
        <f>IFERROR(__xludf.DUMMYFUNCTION("""COMPUTED_VALUE"""),"")</f>
        <v/>
      </c>
    </row>
    <row r="979">
      <c r="A979" t="str">
        <f t="shared" si="1"/>
        <v/>
      </c>
      <c r="C979" t="str">
        <f>IFERROR(__xludf.DUMMYFUNCTION("""COMPUTED_VALUE"""),"")</f>
        <v/>
      </c>
    </row>
    <row r="980">
      <c r="A980" t="str">
        <f t="shared" si="1"/>
        <v/>
      </c>
      <c r="C980" t="str">
        <f>IFERROR(__xludf.DUMMYFUNCTION("""COMPUTED_VALUE"""),"")</f>
        <v/>
      </c>
    </row>
    <row r="981">
      <c r="A981" t="str">
        <f t="shared" si="1"/>
        <v/>
      </c>
      <c r="C981" t="str">
        <f>IFERROR(__xludf.DUMMYFUNCTION("""COMPUTED_VALUE"""),"")</f>
        <v/>
      </c>
    </row>
    <row r="982">
      <c r="A982" t="str">
        <f t="shared" si="1"/>
        <v/>
      </c>
      <c r="C982" t="str">
        <f>IFERROR(__xludf.DUMMYFUNCTION("""COMPUTED_VALUE"""),"")</f>
        <v/>
      </c>
    </row>
    <row r="983">
      <c r="A983" t="str">
        <f t="shared" si="1"/>
        <v/>
      </c>
      <c r="C983" t="str">
        <f>IFERROR(__xludf.DUMMYFUNCTION("""COMPUTED_VALUE"""),"")</f>
        <v/>
      </c>
    </row>
    <row r="984">
      <c r="A984" t="str">
        <f t="shared" si="1"/>
        <v/>
      </c>
      <c r="C984" t="str">
        <f>IFERROR(__xludf.DUMMYFUNCTION("""COMPUTED_VALUE"""),"")</f>
        <v/>
      </c>
    </row>
    <row r="985">
      <c r="A985" t="str">
        <f t="shared" si="1"/>
        <v/>
      </c>
      <c r="C985" t="str">
        <f>IFERROR(__xludf.DUMMYFUNCTION("""COMPUTED_VALUE"""),"")</f>
        <v/>
      </c>
    </row>
    <row r="986">
      <c r="A986" t="str">
        <f t="shared" si="1"/>
        <v/>
      </c>
      <c r="C986" t="str">
        <f>IFERROR(__xludf.DUMMYFUNCTION("""COMPUTED_VALUE"""),"")</f>
        <v/>
      </c>
    </row>
    <row r="987">
      <c r="A987" t="str">
        <f t="shared" si="1"/>
        <v/>
      </c>
      <c r="C987" t="str">
        <f>IFERROR(__xludf.DUMMYFUNCTION("""COMPUTED_VALUE"""),"")</f>
        <v/>
      </c>
    </row>
    <row r="988">
      <c r="A988" t="str">
        <f t="shared" si="1"/>
        <v/>
      </c>
      <c r="C988" t="str">
        <f>IFERROR(__xludf.DUMMYFUNCTION("""COMPUTED_VALUE"""),"")</f>
        <v/>
      </c>
    </row>
    <row r="989">
      <c r="A989" t="str">
        <f t="shared" si="1"/>
        <v/>
      </c>
      <c r="C989" t="str">
        <f>IFERROR(__xludf.DUMMYFUNCTION("""COMPUTED_VALUE"""),"")</f>
        <v/>
      </c>
    </row>
    <row r="990">
      <c r="A990" t="str">
        <f t="shared" si="1"/>
        <v/>
      </c>
      <c r="C990" t="str">
        <f>IFERROR(__xludf.DUMMYFUNCTION("""COMPUTED_VALUE"""),"")</f>
        <v/>
      </c>
    </row>
    <row r="991">
      <c r="A991" t="str">
        <f t="shared" si="1"/>
        <v/>
      </c>
      <c r="C991" t="str">
        <f>IFERROR(__xludf.DUMMYFUNCTION("""COMPUTED_VALUE"""),"")</f>
        <v/>
      </c>
    </row>
    <row r="992">
      <c r="A992" t="str">
        <f t="shared" si="1"/>
        <v/>
      </c>
      <c r="C992" t="str">
        <f>IFERROR(__xludf.DUMMYFUNCTION("""COMPUTED_VALUE"""),"")</f>
        <v/>
      </c>
    </row>
    <row r="993">
      <c r="A993" t="str">
        <f t="shared" si="1"/>
        <v/>
      </c>
      <c r="C993" t="str">
        <f>IFERROR(__xludf.DUMMYFUNCTION("""COMPUTED_VALUE"""),"")</f>
        <v/>
      </c>
    </row>
    <row r="994">
      <c r="A994" t="str">
        <f t="shared" si="1"/>
        <v/>
      </c>
      <c r="C994" t="str">
        <f>IFERROR(__xludf.DUMMYFUNCTION("""COMPUTED_VALUE"""),"")</f>
        <v/>
      </c>
    </row>
    <row r="995">
      <c r="A995" t="str">
        <f t="shared" si="1"/>
        <v/>
      </c>
      <c r="C995" t="str">
        <f>IFERROR(__xludf.DUMMYFUNCTION("""COMPUTED_VALUE"""),"")</f>
        <v/>
      </c>
    </row>
    <row r="996">
      <c r="A996" t="str">
        <f t="shared" si="1"/>
        <v/>
      </c>
      <c r="C996" t="str">
        <f>IFERROR(__xludf.DUMMYFUNCTION("""COMPUTED_VALUE"""),"")</f>
        <v/>
      </c>
    </row>
    <row r="997">
      <c r="A997" t="str">
        <f t="shared" si="1"/>
        <v/>
      </c>
      <c r="C997" t="str">
        <f>IFERROR(__xludf.DUMMYFUNCTION("""COMPUTED_VALUE"""),"")</f>
        <v/>
      </c>
    </row>
    <row r="998">
      <c r="A998" t="str">
        <f t="shared" si="1"/>
        <v/>
      </c>
      <c r="C998" t="str">
        <f>IFERROR(__xludf.DUMMYFUNCTION("""COMPUTED_VALUE"""),"")</f>
        <v/>
      </c>
    </row>
    <row r="999">
      <c r="A999" t="str">
        <f t="shared" si="1"/>
        <v/>
      </c>
      <c r="C999" t="str">
        <f>IFERROR(__xludf.DUMMYFUNCTION("""COMPUTED_VALUE"""),"")</f>
        <v/>
      </c>
    </row>
    <row r="1000">
      <c r="A1000" t="str">
        <f t="shared" si="1"/>
        <v/>
      </c>
    </row>
    <row r="1001">
      <c r="A1001" t="str">
        <f t="shared" si="1"/>
        <v/>
      </c>
    </row>
    <row r="1002">
      <c r="A1002" t="str">
        <f t="shared" si="1"/>
        <v/>
      </c>
    </row>
    <row r="1003">
      <c r="A1003" t="str">
        <f t="shared" si="1"/>
        <v/>
      </c>
    </row>
    <row r="1004">
      <c r="A1004" t="str">
        <f t="shared" si="1"/>
        <v/>
      </c>
    </row>
    <row r="1005">
      <c r="A1005" t="str">
        <f t="shared" si="1"/>
        <v/>
      </c>
    </row>
    <row r="1006">
      <c r="A1006" t="str">
        <f t="shared" si="1"/>
        <v/>
      </c>
    </row>
    <row r="1007">
      <c r="A1007" t="str">
        <f t="shared" si="1"/>
        <v/>
      </c>
    </row>
    <row r="1008">
      <c r="A1008" t="str">
        <f t="shared" si="1"/>
        <v/>
      </c>
    </row>
    <row r="1009">
      <c r="A1009" t="str">
        <f t="shared" si="1"/>
        <v/>
      </c>
    </row>
    <row r="1010">
      <c r="A1010" t="str">
        <f t="shared" si="1"/>
        <v/>
      </c>
    </row>
    <row r="1011">
      <c r="A1011" t="str">
        <f t="shared" si="1"/>
        <v/>
      </c>
    </row>
    <row r="1012">
      <c r="A1012" t="str">
        <f t="shared" si="1"/>
        <v/>
      </c>
    </row>
    <row r="1013">
      <c r="A1013" t="str">
        <f t="shared" si="1"/>
        <v/>
      </c>
    </row>
    <row r="1014">
      <c r="A1014" t="str">
        <f t="shared" si="1"/>
        <v/>
      </c>
    </row>
    <row r="1015">
      <c r="A1015" t="str">
        <f t="shared" si="1"/>
        <v/>
      </c>
    </row>
    <row r="1016">
      <c r="A1016" t="str">
        <f t="shared" si="1"/>
        <v/>
      </c>
    </row>
    <row r="1017">
      <c r="A1017" t="str">
        <f t="shared" si="1"/>
        <v/>
      </c>
    </row>
    <row r="1018">
      <c r="A1018" t="str">
        <f t="shared" si="1"/>
        <v/>
      </c>
    </row>
    <row r="1019">
      <c r="A1019" t="str">
        <f t="shared" si="1"/>
        <v/>
      </c>
    </row>
    <row r="1020">
      <c r="A1020" t="str">
        <f t="shared" si="1"/>
        <v/>
      </c>
    </row>
    <row r="1021">
      <c r="A1021" t="str">
        <f t="shared" si="1"/>
        <v/>
      </c>
    </row>
    <row r="1022">
      <c r="A1022" t="str">
        <f t="shared" si="1"/>
        <v/>
      </c>
    </row>
    <row r="1023">
      <c r="A1023" t="str">
        <f t="shared" si="1"/>
        <v/>
      </c>
    </row>
    <row r="1024">
      <c r="A1024" t="str">
        <f t="shared" si="1"/>
        <v/>
      </c>
    </row>
    <row r="1025">
      <c r="A1025" t="str">
        <f t="shared" si="1"/>
        <v/>
      </c>
    </row>
    <row r="1026">
      <c r="A1026" t="str">
        <f t="shared" si="1"/>
        <v/>
      </c>
    </row>
    <row r="1027">
      <c r="A1027" t="str">
        <f t="shared" si="1"/>
        <v/>
      </c>
    </row>
    <row r="1028">
      <c r="A1028" t="str">
        <f t="shared" si="1"/>
        <v/>
      </c>
    </row>
    <row r="1029">
      <c r="A1029" t="str">
        <f t="shared" si="1"/>
        <v/>
      </c>
    </row>
    <row r="1030">
      <c r="A1030" t="str">
        <f t="shared" si="1"/>
        <v/>
      </c>
    </row>
    <row r="1031">
      <c r="A1031" t="str">
        <f t="shared" si="1"/>
        <v/>
      </c>
    </row>
    <row r="1032">
      <c r="A1032" t="str">
        <f t="shared" si="1"/>
        <v/>
      </c>
    </row>
    <row r="1033">
      <c r="A1033" t="str">
        <f t="shared" si="1"/>
        <v/>
      </c>
    </row>
    <row r="1034">
      <c r="A1034" t="str">
        <f t="shared" si="1"/>
        <v/>
      </c>
    </row>
    <row r="1035">
      <c r="A1035" t="str">
        <f t="shared" si="1"/>
        <v/>
      </c>
    </row>
    <row r="1036">
      <c r="A1036" t="str">
        <f t="shared" si="1"/>
        <v/>
      </c>
    </row>
    <row r="1037">
      <c r="A1037" t="str">
        <f t="shared" si="1"/>
        <v/>
      </c>
    </row>
    <row r="1038">
      <c r="A1038" t="str">
        <f t="shared" si="1"/>
        <v/>
      </c>
    </row>
    <row r="1039">
      <c r="A1039" t="str">
        <f t="shared" si="1"/>
        <v/>
      </c>
    </row>
    <row r="1040">
      <c r="A1040" t="str">
        <f t="shared" si="1"/>
        <v/>
      </c>
    </row>
    <row r="1041">
      <c r="A1041" t="str">
        <f t="shared" si="1"/>
        <v/>
      </c>
    </row>
    <row r="1042">
      <c r="A1042" t="str">
        <f t="shared" si="1"/>
        <v/>
      </c>
    </row>
    <row r="1043">
      <c r="A1043" t="str">
        <f t="shared" si="1"/>
        <v/>
      </c>
    </row>
    <row r="1044">
      <c r="A1044" t="str">
        <f t="shared" si="1"/>
        <v/>
      </c>
    </row>
    <row r="1045">
      <c r="A1045" t="str">
        <f t="shared" si="1"/>
        <v/>
      </c>
    </row>
    <row r="1046">
      <c r="A1046" t="str">
        <f t="shared" si="1"/>
        <v/>
      </c>
    </row>
    <row r="1047">
      <c r="A1047" t="str">
        <f t="shared" si="1"/>
        <v/>
      </c>
    </row>
    <row r="1048">
      <c r="A1048" t="str">
        <f t="shared" si="1"/>
        <v/>
      </c>
    </row>
    <row r="1049">
      <c r="A1049" t="str">
        <f t="shared" si="1"/>
        <v/>
      </c>
    </row>
    <row r="1050">
      <c r="A1050" t="str">
        <f t="shared" si="1"/>
        <v/>
      </c>
    </row>
    <row r="1051">
      <c r="A1051" t="str">
        <f t="shared" si="1"/>
        <v/>
      </c>
    </row>
    <row r="1052">
      <c r="A1052" t="str">
        <f t="shared" si="1"/>
        <v/>
      </c>
    </row>
    <row r="1053">
      <c r="A1053" t="str">
        <f t="shared" si="1"/>
        <v/>
      </c>
    </row>
    <row r="1054">
      <c r="A1054" t="str">
        <f t="shared" si="1"/>
        <v/>
      </c>
    </row>
    <row r="1055">
      <c r="A1055" t="str">
        <f t="shared" si="1"/>
        <v/>
      </c>
    </row>
    <row r="1056">
      <c r="A1056" t="str">
        <f t="shared" si="1"/>
        <v/>
      </c>
    </row>
    <row r="1057">
      <c r="A1057" t="str">
        <f t="shared" si="1"/>
        <v/>
      </c>
    </row>
    <row r="1058">
      <c r="A1058" t="str">
        <f t="shared" si="1"/>
        <v/>
      </c>
    </row>
    <row r="1059">
      <c r="A1059" t="str">
        <f t="shared" si="1"/>
        <v/>
      </c>
    </row>
    <row r="1060">
      <c r="A1060" t="str">
        <f t="shared" si="1"/>
        <v/>
      </c>
    </row>
    <row r="1061">
      <c r="A1061" t="str">
        <f t="shared" si="1"/>
        <v/>
      </c>
    </row>
    <row r="1062">
      <c r="A1062" t="str">
        <f t="shared" si="1"/>
        <v/>
      </c>
    </row>
    <row r="1063">
      <c r="A1063" t="str">
        <f t="shared" si="1"/>
        <v/>
      </c>
    </row>
    <row r="1064">
      <c r="A1064" t="str">
        <f t="shared" si="1"/>
        <v/>
      </c>
    </row>
    <row r="1065">
      <c r="A1065" t="str">
        <f t="shared" si="1"/>
        <v/>
      </c>
    </row>
    <row r="1066">
      <c r="A1066" t="str">
        <f t="shared" si="1"/>
        <v/>
      </c>
    </row>
    <row r="1067">
      <c r="A1067" t="str">
        <f t="shared" si="1"/>
        <v/>
      </c>
    </row>
    <row r="1068">
      <c r="A1068" t="str">
        <f t="shared" si="1"/>
        <v/>
      </c>
    </row>
    <row r="1069">
      <c r="A1069" t="str">
        <f t="shared" si="1"/>
        <v/>
      </c>
    </row>
    <row r="1070">
      <c r="A1070" t="str">
        <f t="shared" si="1"/>
        <v/>
      </c>
    </row>
    <row r="1071">
      <c r="A1071" t="str">
        <f t="shared" si="1"/>
        <v/>
      </c>
    </row>
    <row r="1072">
      <c r="A1072" t="str">
        <f t="shared" si="1"/>
        <v/>
      </c>
    </row>
    <row r="1073">
      <c r="A1073" t="str">
        <f t="shared" si="1"/>
        <v/>
      </c>
    </row>
    <row r="1074">
      <c r="A1074" t="str">
        <f t="shared" si="1"/>
        <v/>
      </c>
    </row>
    <row r="1075">
      <c r="A1075" t="str">
        <f t="shared" si="1"/>
        <v/>
      </c>
    </row>
    <row r="1076">
      <c r="A1076" t="str">
        <f t="shared" si="1"/>
        <v/>
      </c>
    </row>
    <row r="1077">
      <c r="A1077" t="str">
        <f t="shared" si="1"/>
        <v/>
      </c>
    </row>
    <row r="1078">
      <c r="A1078" t="str">
        <f t="shared" si="1"/>
        <v/>
      </c>
    </row>
    <row r="1079">
      <c r="A1079" t="str">
        <f t="shared" si="1"/>
        <v/>
      </c>
    </row>
    <row r="1080">
      <c r="A1080" t="str">
        <f t="shared" si="1"/>
        <v/>
      </c>
    </row>
    <row r="1081">
      <c r="A1081" t="str">
        <f t="shared" si="1"/>
        <v/>
      </c>
    </row>
    <row r="1082">
      <c r="A1082" t="str">
        <f t="shared" si="1"/>
        <v/>
      </c>
    </row>
    <row r="1083">
      <c r="A1083" t="str">
        <f t="shared" si="1"/>
        <v/>
      </c>
    </row>
    <row r="1084">
      <c r="A1084" t="str">
        <f t="shared" si="1"/>
        <v/>
      </c>
    </row>
    <row r="1085">
      <c r="A1085" t="str">
        <f t="shared" si="1"/>
        <v/>
      </c>
    </row>
    <row r="1086">
      <c r="A1086" t="str">
        <f t="shared" si="1"/>
        <v/>
      </c>
    </row>
    <row r="1087">
      <c r="A1087" t="str">
        <f t="shared" si="1"/>
        <v/>
      </c>
    </row>
    <row r="1088">
      <c r="A1088" t="str">
        <f t="shared" si="1"/>
        <v/>
      </c>
    </row>
    <row r="1089">
      <c r="A1089" t="str">
        <f t="shared" si="1"/>
        <v/>
      </c>
    </row>
    <row r="1090">
      <c r="A1090" t="str">
        <f t="shared" si="1"/>
        <v/>
      </c>
    </row>
    <row r="1091">
      <c r="A1091" t="str">
        <f t="shared" si="1"/>
        <v/>
      </c>
    </row>
    <row r="1092">
      <c r="A1092" t="str">
        <f t="shared" si="1"/>
        <v/>
      </c>
    </row>
    <row r="1093">
      <c r="A1093" t="str">
        <f t="shared" si="1"/>
        <v/>
      </c>
    </row>
    <row r="1094">
      <c r="A1094" t="str">
        <f t="shared" si="1"/>
        <v/>
      </c>
    </row>
    <row r="1095">
      <c r="A1095" t="str">
        <f t="shared" si="1"/>
        <v/>
      </c>
    </row>
    <row r="1096">
      <c r="A1096" t="str">
        <f t="shared" si="1"/>
        <v/>
      </c>
    </row>
    <row r="1097">
      <c r="A1097" t="str">
        <f t="shared" si="1"/>
        <v/>
      </c>
    </row>
    <row r="1098">
      <c r="A1098" t="str">
        <f t="shared" si="1"/>
        <v/>
      </c>
    </row>
    <row r="1099">
      <c r="A1099" t="str">
        <f t="shared" si="1"/>
        <v/>
      </c>
    </row>
    <row r="1100">
      <c r="A1100" t="str">
        <f t="shared" si="1"/>
        <v/>
      </c>
    </row>
    <row r="1101">
      <c r="A1101" t="str">
        <f t="shared" si="1"/>
        <v/>
      </c>
    </row>
    <row r="1102">
      <c r="A1102" t="str">
        <f t="shared" si="1"/>
        <v/>
      </c>
    </row>
    <row r="1103">
      <c r="A1103" t="str">
        <f t="shared" si="1"/>
        <v/>
      </c>
    </row>
    <row r="1104">
      <c r="A1104" t="str">
        <f t="shared" si="1"/>
        <v/>
      </c>
    </row>
    <row r="1105">
      <c r="A1105" t="str">
        <f t="shared" si="1"/>
        <v/>
      </c>
    </row>
    <row r="1106">
      <c r="A1106" t="str">
        <f t="shared" si="1"/>
        <v/>
      </c>
    </row>
    <row r="1107">
      <c r="A1107" t="str">
        <f t="shared" si="1"/>
        <v/>
      </c>
    </row>
    <row r="1108">
      <c r="A1108" t="str">
        <f t="shared" si="1"/>
        <v/>
      </c>
    </row>
    <row r="1109">
      <c r="A1109" t="str">
        <f t="shared" si="1"/>
        <v/>
      </c>
    </row>
    <row r="1110">
      <c r="A1110" t="str">
        <f t="shared" si="1"/>
        <v/>
      </c>
    </row>
    <row r="1111">
      <c r="A1111" t="str">
        <f t="shared" si="1"/>
        <v/>
      </c>
    </row>
    <row r="1112">
      <c r="A1112" t="str">
        <f t="shared" si="1"/>
        <v/>
      </c>
    </row>
    <row r="1113">
      <c r="A1113" t="str">
        <f t="shared" si="1"/>
        <v/>
      </c>
    </row>
    <row r="1114">
      <c r="A1114" t="str">
        <f t="shared" si="1"/>
        <v/>
      </c>
    </row>
    <row r="1115">
      <c r="A1115" t="str">
        <f t="shared" si="1"/>
        <v/>
      </c>
    </row>
    <row r="1116">
      <c r="A1116" t="str">
        <f t="shared" si="1"/>
        <v/>
      </c>
    </row>
    <row r="1117">
      <c r="A1117" t="str">
        <f t="shared" si="1"/>
        <v/>
      </c>
    </row>
    <row r="1118">
      <c r="A1118" t="str">
        <f t="shared" si="1"/>
        <v/>
      </c>
    </row>
    <row r="1119">
      <c r="A1119" t="str">
        <f t="shared" si="1"/>
        <v/>
      </c>
    </row>
    <row r="1120">
      <c r="A1120" t="str">
        <f t="shared" si="1"/>
        <v/>
      </c>
    </row>
    <row r="1121">
      <c r="A1121" t="str">
        <f t="shared" si="1"/>
        <v/>
      </c>
    </row>
    <row r="1122">
      <c r="A1122" t="str">
        <f t="shared" si="1"/>
        <v/>
      </c>
    </row>
    <row r="1123">
      <c r="A1123" t="str">
        <f t="shared" si="1"/>
        <v/>
      </c>
    </row>
    <row r="1124">
      <c r="A1124" t="str">
        <f t="shared" si="1"/>
        <v/>
      </c>
    </row>
    <row r="1125">
      <c r="A1125" t="str">
        <f t="shared" si="1"/>
        <v/>
      </c>
    </row>
    <row r="1126">
      <c r="A1126" t="str">
        <f t="shared" si="1"/>
        <v/>
      </c>
    </row>
    <row r="1127">
      <c r="A1127" t="str">
        <f t="shared" si="1"/>
        <v/>
      </c>
    </row>
    <row r="1128">
      <c r="A1128" t="str">
        <f t="shared" si="1"/>
        <v/>
      </c>
    </row>
    <row r="1129">
      <c r="A1129" t="str">
        <f t="shared" si="1"/>
        <v/>
      </c>
    </row>
    <row r="1130">
      <c r="A1130" t="str">
        <f t="shared" si="1"/>
        <v/>
      </c>
    </row>
    <row r="1131">
      <c r="A1131" t="str">
        <f t="shared" si="1"/>
        <v/>
      </c>
    </row>
    <row r="1132">
      <c r="A1132" t="str">
        <f t="shared" si="1"/>
        <v/>
      </c>
    </row>
    <row r="1133">
      <c r="A1133" t="str">
        <f t="shared" si="1"/>
        <v/>
      </c>
    </row>
    <row r="1134">
      <c r="A1134" t="str">
        <f t="shared" si="1"/>
        <v/>
      </c>
    </row>
    <row r="1135">
      <c r="A1135" t="str">
        <f t="shared" si="1"/>
        <v/>
      </c>
    </row>
    <row r="1136">
      <c r="A1136" t="str">
        <f t="shared" si="1"/>
        <v/>
      </c>
    </row>
    <row r="1137">
      <c r="A1137" t="str">
        <f t="shared" si="1"/>
        <v/>
      </c>
    </row>
    <row r="1138">
      <c r="A1138" t="str">
        <f t="shared" si="1"/>
        <v/>
      </c>
    </row>
    <row r="1139">
      <c r="A1139" t="str">
        <f t="shared" si="1"/>
        <v/>
      </c>
    </row>
    <row r="1140">
      <c r="A1140" t="str">
        <f t="shared" si="1"/>
        <v/>
      </c>
    </row>
    <row r="1141">
      <c r="A1141" t="str">
        <f t="shared" si="1"/>
        <v/>
      </c>
    </row>
    <row r="1142">
      <c r="A1142" t="str">
        <f t="shared" si="1"/>
        <v/>
      </c>
    </row>
    <row r="1143">
      <c r="A1143" t="str">
        <f t="shared" si="1"/>
        <v/>
      </c>
    </row>
    <row r="1144">
      <c r="A1144" t="str">
        <f t="shared" si="1"/>
        <v/>
      </c>
    </row>
    <row r="1145">
      <c r="A1145" t="str">
        <f t="shared" si="1"/>
        <v/>
      </c>
    </row>
    <row r="1146">
      <c r="A1146" t="str">
        <f t="shared" si="1"/>
        <v/>
      </c>
    </row>
    <row r="1147">
      <c r="A1147" t="str">
        <f t="shared" si="1"/>
        <v/>
      </c>
    </row>
    <row r="1148">
      <c r="A1148" t="str">
        <f t="shared" si="1"/>
        <v/>
      </c>
    </row>
    <row r="1149">
      <c r="A1149" t="str">
        <f t="shared" si="1"/>
        <v/>
      </c>
    </row>
    <row r="1150">
      <c r="A1150" t="str">
        <f t="shared" si="1"/>
        <v/>
      </c>
    </row>
    <row r="1151">
      <c r="A1151" t="str">
        <f t="shared" si="1"/>
        <v/>
      </c>
    </row>
    <row r="1152">
      <c r="A1152" t="str">
        <f t="shared" si="1"/>
        <v/>
      </c>
    </row>
    <row r="1153">
      <c r="A1153" t="str">
        <f t="shared" si="1"/>
        <v/>
      </c>
    </row>
    <row r="1154">
      <c r="A1154" t="str">
        <f t="shared" si="1"/>
        <v/>
      </c>
    </row>
    <row r="1155">
      <c r="A1155" t="str">
        <f t="shared" si="1"/>
        <v/>
      </c>
    </row>
    <row r="1156">
      <c r="A1156" t="str">
        <f t="shared" si="1"/>
        <v/>
      </c>
    </row>
    <row r="1157">
      <c r="A1157" t="str">
        <f t="shared" si="1"/>
        <v/>
      </c>
    </row>
    <row r="1158">
      <c r="A1158" t="str">
        <f t="shared" si="1"/>
        <v/>
      </c>
    </row>
    <row r="1159">
      <c r="A1159" t="str">
        <f t="shared" si="1"/>
        <v/>
      </c>
    </row>
    <row r="1160">
      <c r="A1160" t="str">
        <f t="shared" si="1"/>
        <v/>
      </c>
    </row>
    <row r="1161">
      <c r="A1161" t="str">
        <f t="shared" si="1"/>
        <v/>
      </c>
    </row>
    <row r="1162">
      <c r="A1162" t="str">
        <f t="shared" si="1"/>
        <v/>
      </c>
    </row>
    <row r="1163">
      <c r="A1163" t="str">
        <f t="shared" si="1"/>
        <v/>
      </c>
    </row>
    <row r="1164">
      <c r="A1164" t="str">
        <f t="shared" si="1"/>
        <v/>
      </c>
    </row>
    <row r="1165">
      <c r="A1165" t="str">
        <f t="shared" si="1"/>
        <v/>
      </c>
    </row>
    <row r="1166">
      <c r="A1166" t="str">
        <f t="shared" si="1"/>
        <v/>
      </c>
    </row>
    <row r="1167">
      <c r="A1167" t="str">
        <f t="shared" si="1"/>
        <v/>
      </c>
    </row>
    <row r="1168">
      <c r="A1168" t="str">
        <f t="shared" si="1"/>
        <v/>
      </c>
    </row>
    <row r="1169">
      <c r="A1169" t="str">
        <f t="shared" si="1"/>
        <v/>
      </c>
    </row>
    <row r="1170">
      <c r="A1170" t="str">
        <f t="shared" si="1"/>
        <v/>
      </c>
    </row>
    <row r="1171">
      <c r="A1171" t="str">
        <f t="shared" si="1"/>
        <v/>
      </c>
    </row>
    <row r="1172">
      <c r="A1172" t="str">
        <f t="shared" si="1"/>
        <v/>
      </c>
    </row>
    <row r="1173">
      <c r="A1173" t="str">
        <f t="shared" si="1"/>
        <v/>
      </c>
    </row>
    <row r="1174">
      <c r="A1174" t="str">
        <f t="shared" si="1"/>
        <v/>
      </c>
    </row>
    <row r="1175">
      <c r="A1175" t="str">
        <f t="shared" si="1"/>
        <v/>
      </c>
    </row>
    <row r="1176">
      <c r="A1176" t="str">
        <f t="shared" si="1"/>
        <v/>
      </c>
    </row>
    <row r="1177">
      <c r="A1177" t="str">
        <f t="shared" si="1"/>
        <v/>
      </c>
    </row>
    <row r="1178">
      <c r="A1178" t="str">
        <f t="shared" si="1"/>
        <v/>
      </c>
    </row>
    <row r="1179">
      <c r="A1179" t="str">
        <f t="shared" si="1"/>
        <v/>
      </c>
    </row>
    <row r="1180">
      <c r="A1180" t="str">
        <f t="shared" si="1"/>
        <v/>
      </c>
    </row>
    <row r="1181">
      <c r="A1181" t="str">
        <f t="shared" si="1"/>
        <v/>
      </c>
    </row>
    <row r="1182">
      <c r="A1182" t="str">
        <f t="shared" si="1"/>
        <v/>
      </c>
    </row>
    <row r="1183">
      <c r="A1183" t="str">
        <f t="shared" si="1"/>
        <v/>
      </c>
    </row>
    <row r="1184">
      <c r="A1184" t="str">
        <f t="shared" si="1"/>
        <v/>
      </c>
    </row>
    <row r="1185">
      <c r="A1185" t="str">
        <f t="shared" si="1"/>
        <v/>
      </c>
    </row>
    <row r="1186">
      <c r="A1186" t="str">
        <f t="shared" si="1"/>
        <v/>
      </c>
    </row>
    <row r="1187">
      <c r="A1187" t="str">
        <f t="shared" si="1"/>
        <v/>
      </c>
    </row>
    <row r="1188">
      <c r="A1188" t="str">
        <f t="shared" si="1"/>
        <v/>
      </c>
    </row>
    <row r="1189">
      <c r="A1189" t="str">
        <f t="shared" si="1"/>
        <v/>
      </c>
    </row>
    <row r="1190">
      <c r="A1190" t="str">
        <f t="shared" si="1"/>
        <v/>
      </c>
    </row>
    <row r="1191">
      <c r="A1191" t="str">
        <f t="shared" si="1"/>
        <v/>
      </c>
    </row>
    <row r="1192">
      <c r="A1192" t="str">
        <f t="shared" si="1"/>
        <v/>
      </c>
    </row>
    <row r="1193">
      <c r="A1193" t="str">
        <f t="shared" si="1"/>
        <v/>
      </c>
    </row>
    <row r="1194">
      <c r="A1194" t="str">
        <f t="shared" si="1"/>
        <v/>
      </c>
    </row>
    <row r="1195">
      <c r="A1195" t="str">
        <f t="shared" si="1"/>
        <v/>
      </c>
    </row>
    <row r="1196">
      <c r="A1196" t="str">
        <f t="shared" si="1"/>
        <v/>
      </c>
    </row>
    <row r="1197">
      <c r="A1197" t="str">
        <f t="shared" si="1"/>
        <v/>
      </c>
    </row>
    <row r="1198">
      <c r="A1198" t="str">
        <f t="shared" si="1"/>
        <v/>
      </c>
    </row>
    <row r="1199">
      <c r="A1199" t="str">
        <f t="shared" si="1"/>
        <v/>
      </c>
    </row>
    <row r="1200">
      <c r="A1200" t="str">
        <f t="shared" si="1"/>
        <v/>
      </c>
    </row>
    <row r="1201">
      <c r="A1201" t="str">
        <f t="shared" si="1"/>
        <v/>
      </c>
    </row>
    <row r="1202">
      <c r="A1202" t="str">
        <f t="shared" si="1"/>
        <v/>
      </c>
    </row>
    <row r="1203">
      <c r="A1203" t="str">
        <f t="shared" si="1"/>
        <v/>
      </c>
    </row>
    <row r="1204">
      <c r="A1204" t="str">
        <f t="shared" si="1"/>
        <v/>
      </c>
    </row>
    <row r="1205">
      <c r="A1205" t="str">
        <f t="shared" si="1"/>
        <v/>
      </c>
    </row>
    <row r="1206">
      <c r="A1206" t="str">
        <f t="shared" si="1"/>
        <v/>
      </c>
    </row>
    <row r="1207">
      <c r="A1207" t="str">
        <f t="shared" si="1"/>
        <v/>
      </c>
    </row>
    <row r="1208">
      <c r="A1208" t="str">
        <f t="shared" si="1"/>
        <v/>
      </c>
    </row>
    <row r="1209">
      <c r="A1209" t="str">
        <f t="shared" si="1"/>
        <v/>
      </c>
    </row>
    <row r="1210">
      <c r="A1210" t="str">
        <f t="shared" si="1"/>
        <v/>
      </c>
    </row>
    <row r="1211">
      <c r="A1211" t="str">
        <f t="shared" si="1"/>
        <v/>
      </c>
    </row>
    <row r="1212">
      <c r="A1212" t="str">
        <f t="shared" si="1"/>
        <v/>
      </c>
    </row>
    <row r="1213">
      <c r="A1213" t="str">
        <f t="shared" si="1"/>
        <v/>
      </c>
    </row>
    <row r="1214">
      <c r="A1214" t="str">
        <f t="shared" si="1"/>
        <v/>
      </c>
    </row>
    <row r="1215">
      <c r="A1215" t="str">
        <f t="shared" si="1"/>
        <v/>
      </c>
    </row>
    <row r="1216">
      <c r="A1216" t="str">
        <f t="shared" si="1"/>
        <v/>
      </c>
    </row>
    <row r="1217">
      <c r="A1217" t="str">
        <f t="shared" si="1"/>
        <v/>
      </c>
    </row>
    <row r="1218">
      <c r="A1218" t="str">
        <f t="shared" si="1"/>
        <v/>
      </c>
    </row>
    <row r="1219">
      <c r="A1219" t="str">
        <f t="shared" si="1"/>
        <v/>
      </c>
    </row>
    <row r="1220">
      <c r="A1220" t="str">
        <f t="shared" si="1"/>
        <v/>
      </c>
    </row>
    <row r="1221">
      <c r="A1221" t="str">
        <f t="shared" si="1"/>
        <v/>
      </c>
    </row>
    <row r="1222">
      <c r="A1222" t="str">
        <f t="shared" si="1"/>
        <v/>
      </c>
    </row>
    <row r="1223">
      <c r="A1223" t="str">
        <f t="shared" si="1"/>
        <v/>
      </c>
    </row>
    <row r="1224">
      <c r="A1224" t="str">
        <f t="shared" si="1"/>
        <v/>
      </c>
    </row>
    <row r="1225">
      <c r="A1225" t="str">
        <f t="shared" si="1"/>
        <v/>
      </c>
    </row>
    <row r="1226">
      <c r="A1226" t="str">
        <f t="shared" si="1"/>
        <v/>
      </c>
    </row>
    <row r="1227">
      <c r="A1227" t="str">
        <f t="shared" si="1"/>
        <v/>
      </c>
    </row>
    <row r="1228">
      <c r="A1228" t="str">
        <f t="shared" si="1"/>
        <v/>
      </c>
    </row>
    <row r="1229">
      <c r="A1229" t="str">
        <f t="shared" si="1"/>
        <v/>
      </c>
    </row>
    <row r="1230">
      <c r="A1230" t="str">
        <f t="shared" si="1"/>
        <v/>
      </c>
    </row>
    <row r="1231">
      <c r="A1231" t="str">
        <f t="shared" si="1"/>
        <v/>
      </c>
    </row>
    <row r="1232">
      <c r="A1232" t="str">
        <f t="shared" si="1"/>
        <v/>
      </c>
    </row>
    <row r="1233">
      <c r="A1233" t="str">
        <f t="shared" si="1"/>
        <v/>
      </c>
    </row>
    <row r="1234">
      <c r="A1234" t="str">
        <f t="shared" si="1"/>
        <v/>
      </c>
    </row>
    <row r="1235">
      <c r="A1235" t="str">
        <f t="shared" si="1"/>
        <v/>
      </c>
    </row>
    <row r="1236">
      <c r="A1236" t="str">
        <f t="shared" si="1"/>
        <v/>
      </c>
    </row>
    <row r="1237">
      <c r="A1237" t="str">
        <f t="shared" si="1"/>
        <v/>
      </c>
    </row>
    <row r="1238">
      <c r="A1238" t="str">
        <f t="shared" si="1"/>
        <v/>
      </c>
    </row>
    <row r="1239">
      <c r="A1239" t="str">
        <f t="shared" si="1"/>
        <v/>
      </c>
    </row>
    <row r="1240">
      <c r="A1240" t="str">
        <f t="shared" si="1"/>
        <v/>
      </c>
    </row>
    <row r="1241">
      <c r="A1241" t="str">
        <f t="shared" si="1"/>
        <v/>
      </c>
    </row>
    <row r="1242">
      <c r="A1242" t="str">
        <f t="shared" si="1"/>
        <v/>
      </c>
    </row>
    <row r="1243">
      <c r="A1243" t="str">
        <f t="shared" si="1"/>
        <v/>
      </c>
    </row>
    <row r="1244">
      <c r="A1244" t="str">
        <f t="shared" si="1"/>
        <v/>
      </c>
    </row>
    <row r="1245">
      <c r="A1245" t="str">
        <f t="shared" si="1"/>
        <v/>
      </c>
    </row>
    <row r="1246">
      <c r="A1246" t="str">
        <f t="shared" si="1"/>
        <v/>
      </c>
    </row>
    <row r="1247">
      <c r="A1247" t="str">
        <f t="shared" si="1"/>
        <v/>
      </c>
    </row>
    <row r="1248">
      <c r="A1248" t="str">
        <f t="shared" si="1"/>
        <v/>
      </c>
    </row>
    <row r="1249">
      <c r="A1249" t="str">
        <f t="shared" si="1"/>
        <v/>
      </c>
    </row>
    <row r="1250">
      <c r="A1250" t="str">
        <f t="shared" si="1"/>
        <v/>
      </c>
    </row>
    <row r="1251">
      <c r="A1251" t="str">
        <f t="shared" si="1"/>
        <v/>
      </c>
    </row>
    <row r="1252">
      <c r="A1252" t="str">
        <f t="shared" si="1"/>
        <v/>
      </c>
    </row>
    <row r="1253">
      <c r="A1253" t="str">
        <f t="shared" si="1"/>
        <v/>
      </c>
    </row>
    <row r="1254">
      <c r="A1254" t="str">
        <f t="shared" si="1"/>
        <v/>
      </c>
    </row>
    <row r="1255">
      <c r="A1255" t="str">
        <f t="shared" si="1"/>
        <v/>
      </c>
    </row>
    <row r="1256">
      <c r="A1256" t="str">
        <f t="shared" si="1"/>
        <v/>
      </c>
    </row>
    <row r="1257">
      <c r="A1257" t="str">
        <f t="shared" si="1"/>
        <v/>
      </c>
    </row>
    <row r="1258">
      <c r="A1258" t="str">
        <f t="shared" si="1"/>
        <v/>
      </c>
    </row>
    <row r="1259">
      <c r="A1259" t="str">
        <f t="shared" si="1"/>
        <v/>
      </c>
    </row>
    <row r="1260">
      <c r="A1260" t="str">
        <f t="shared" si="1"/>
        <v/>
      </c>
    </row>
    <row r="1261">
      <c r="A1261" t="str">
        <f t="shared" si="1"/>
        <v/>
      </c>
    </row>
    <row r="1262">
      <c r="A1262" t="str">
        <f t="shared" si="1"/>
        <v/>
      </c>
    </row>
    <row r="1263">
      <c r="A1263" t="str">
        <f t="shared" si="1"/>
        <v/>
      </c>
    </row>
    <row r="1264">
      <c r="A1264" t="str">
        <f t="shared" si="1"/>
        <v/>
      </c>
    </row>
    <row r="1265">
      <c r="A1265" t="str">
        <f t="shared" si="1"/>
        <v/>
      </c>
    </row>
    <row r="1266">
      <c r="A1266" t="str">
        <f t="shared" si="1"/>
        <v/>
      </c>
    </row>
    <row r="1267">
      <c r="A1267" t="str">
        <f t="shared" si="1"/>
        <v/>
      </c>
    </row>
    <row r="1268">
      <c r="A1268" t="str">
        <f t="shared" si="1"/>
        <v/>
      </c>
    </row>
    <row r="1269">
      <c r="A1269" t="str">
        <f t="shared" si="1"/>
        <v/>
      </c>
    </row>
    <row r="1270">
      <c r="A1270" t="str">
        <f t="shared" si="1"/>
        <v/>
      </c>
    </row>
    <row r="1271">
      <c r="A1271" t="str">
        <f t="shared" si="1"/>
        <v/>
      </c>
    </row>
    <row r="1272">
      <c r="A1272" t="str">
        <f t="shared" si="1"/>
        <v/>
      </c>
    </row>
    <row r="1273">
      <c r="A1273" t="str">
        <f t="shared" si="1"/>
        <v/>
      </c>
    </row>
    <row r="1274">
      <c r="A1274" t="str">
        <f t="shared" si="1"/>
        <v/>
      </c>
    </row>
    <row r="1275">
      <c r="A1275" t="str">
        <f t="shared" si="1"/>
        <v/>
      </c>
    </row>
    <row r="1276">
      <c r="A1276" t="str">
        <f t="shared" si="1"/>
        <v/>
      </c>
    </row>
    <row r="1277">
      <c r="A1277" t="str">
        <f t="shared" si="1"/>
        <v/>
      </c>
    </row>
    <row r="1278">
      <c r="A1278" t="str">
        <f t="shared" si="1"/>
        <v/>
      </c>
    </row>
    <row r="1279">
      <c r="A1279" t="str">
        <f t="shared" si="1"/>
        <v/>
      </c>
    </row>
    <row r="1280">
      <c r="A1280" t="str">
        <f t="shared" si="1"/>
        <v/>
      </c>
    </row>
    <row r="1281">
      <c r="A1281" t="str">
        <f t="shared" si="1"/>
        <v/>
      </c>
    </row>
    <row r="1282">
      <c r="A1282" t="str">
        <f t="shared" si="1"/>
        <v/>
      </c>
    </row>
    <row r="1283">
      <c r="A1283" t="str">
        <f t="shared" si="1"/>
        <v/>
      </c>
    </row>
    <row r="1284">
      <c r="A1284" t="str">
        <f t="shared" si="1"/>
        <v/>
      </c>
    </row>
    <row r="1285">
      <c r="A1285" t="str">
        <f t="shared" si="1"/>
        <v/>
      </c>
    </row>
    <row r="1286">
      <c r="A1286" t="str">
        <f t="shared" si="1"/>
        <v/>
      </c>
    </row>
    <row r="1287">
      <c r="A1287" t="str">
        <f t="shared" si="1"/>
        <v/>
      </c>
    </row>
    <row r="1288">
      <c r="A1288" t="str">
        <f t="shared" si="1"/>
        <v/>
      </c>
    </row>
    <row r="1289">
      <c r="A1289" t="str">
        <f t="shared" si="1"/>
        <v/>
      </c>
    </row>
    <row r="1290">
      <c r="A1290" t="str">
        <f t="shared" si="1"/>
        <v/>
      </c>
    </row>
    <row r="1291">
      <c r="A1291" t="str">
        <f t="shared" si="1"/>
        <v/>
      </c>
    </row>
    <row r="1292">
      <c r="A1292" t="str">
        <f t="shared" si="1"/>
        <v/>
      </c>
    </row>
    <row r="1293">
      <c r="A1293" t="str">
        <f t="shared" si="1"/>
        <v/>
      </c>
    </row>
    <row r="1294">
      <c r="A1294" t="str">
        <f t="shared" si="1"/>
        <v/>
      </c>
    </row>
    <row r="1295">
      <c r="A1295" t="str">
        <f t="shared" si="1"/>
        <v/>
      </c>
    </row>
    <row r="1296">
      <c r="A1296" t="str">
        <f t="shared" si="1"/>
        <v/>
      </c>
    </row>
    <row r="1297">
      <c r="A1297" t="str">
        <f t="shared" si="1"/>
        <v/>
      </c>
    </row>
    <row r="1298">
      <c r="A1298" t="str">
        <f t="shared" si="1"/>
        <v/>
      </c>
    </row>
    <row r="1299">
      <c r="A1299" t="str">
        <f t="shared" si="1"/>
        <v/>
      </c>
    </row>
    <row r="1300">
      <c r="A1300" t="str">
        <f t="shared" si="1"/>
        <v/>
      </c>
    </row>
    <row r="1301">
      <c r="A1301" t="str">
        <f t="shared" si="1"/>
        <v/>
      </c>
    </row>
    <row r="1302">
      <c r="A1302" t="str">
        <f t="shared" si="1"/>
        <v/>
      </c>
    </row>
    <row r="1303">
      <c r="A1303" t="str">
        <f t="shared" si="1"/>
        <v/>
      </c>
    </row>
    <row r="1304">
      <c r="A1304" t="str">
        <f t="shared" si="1"/>
        <v/>
      </c>
    </row>
    <row r="1305">
      <c r="A1305" t="str">
        <f t="shared" si="1"/>
        <v/>
      </c>
    </row>
    <row r="1306">
      <c r="A1306" t="str">
        <f t="shared" si="1"/>
        <v/>
      </c>
    </row>
    <row r="1307">
      <c r="A1307" t="str">
        <f t="shared" si="1"/>
        <v/>
      </c>
    </row>
    <row r="1308">
      <c r="A1308" t="str">
        <f t="shared" si="1"/>
        <v/>
      </c>
    </row>
    <row r="1309">
      <c r="A1309" t="str">
        <f t="shared" si="1"/>
        <v/>
      </c>
    </row>
    <row r="1310">
      <c r="A1310" t="str">
        <f t="shared" si="1"/>
        <v/>
      </c>
    </row>
    <row r="1311">
      <c r="A1311" t="str">
        <f t="shared" si="1"/>
        <v/>
      </c>
    </row>
    <row r="1312">
      <c r="A1312" t="str">
        <f t="shared" si="1"/>
        <v/>
      </c>
    </row>
    <row r="1313">
      <c r="A1313" t="str">
        <f t="shared" si="1"/>
        <v/>
      </c>
    </row>
    <row r="1314">
      <c r="A1314" t="str">
        <f t="shared" si="1"/>
        <v/>
      </c>
    </row>
    <row r="1315">
      <c r="A1315" t="str">
        <f t="shared" si="1"/>
        <v/>
      </c>
    </row>
    <row r="1316">
      <c r="A1316" t="str">
        <f t="shared" si="1"/>
        <v/>
      </c>
    </row>
    <row r="1317">
      <c r="A1317" t="str">
        <f t="shared" si="1"/>
        <v/>
      </c>
    </row>
    <row r="1318">
      <c r="A1318" t="str">
        <f t="shared" si="1"/>
        <v/>
      </c>
    </row>
    <row r="1319">
      <c r="A1319" t="str">
        <f t="shared" si="1"/>
        <v/>
      </c>
    </row>
    <row r="1320">
      <c r="A1320" t="str">
        <f t="shared" si="1"/>
        <v/>
      </c>
    </row>
    <row r="1321">
      <c r="A1321" t="str">
        <f t="shared" si="1"/>
        <v/>
      </c>
    </row>
    <row r="1322">
      <c r="A1322" t="str">
        <f t="shared" si="1"/>
        <v/>
      </c>
    </row>
    <row r="1323">
      <c r="A1323" t="str">
        <f t="shared" si="1"/>
        <v/>
      </c>
    </row>
    <row r="1324">
      <c r="A1324" t="str">
        <f t="shared" si="1"/>
        <v/>
      </c>
    </row>
    <row r="1325">
      <c r="A1325" t="str">
        <f t="shared" si="1"/>
        <v/>
      </c>
    </row>
    <row r="1326">
      <c r="A1326" t="str">
        <f t="shared" si="1"/>
        <v/>
      </c>
    </row>
    <row r="1327">
      <c r="A1327" t="str">
        <f t="shared" si="1"/>
        <v/>
      </c>
    </row>
    <row r="1328">
      <c r="A1328" t="str">
        <f t="shared" si="1"/>
        <v/>
      </c>
    </row>
    <row r="1329">
      <c r="A1329" t="str">
        <f t="shared" si="1"/>
        <v/>
      </c>
    </row>
    <row r="1330">
      <c r="A1330" t="str">
        <f t="shared" si="1"/>
        <v/>
      </c>
    </row>
    <row r="1331">
      <c r="A1331" t="str">
        <f t="shared" si="1"/>
        <v/>
      </c>
    </row>
    <row r="1332">
      <c r="A1332" t="str">
        <f t="shared" si="1"/>
        <v/>
      </c>
    </row>
    <row r="1333">
      <c r="A1333" t="str">
        <f t="shared" si="1"/>
        <v/>
      </c>
    </row>
    <row r="1334">
      <c r="A1334" t="str">
        <f t="shared" si="1"/>
        <v/>
      </c>
    </row>
    <row r="1335">
      <c r="A1335" t="str">
        <f t="shared" si="1"/>
        <v/>
      </c>
    </row>
    <row r="1336">
      <c r="A1336" t="str">
        <f t="shared" si="1"/>
        <v/>
      </c>
    </row>
    <row r="1337">
      <c r="A1337" t="str">
        <f t="shared" si="1"/>
        <v/>
      </c>
    </row>
    <row r="1338">
      <c r="A1338" t="str">
        <f t="shared" si="1"/>
        <v/>
      </c>
    </row>
    <row r="1339">
      <c r="A1339" t="str">
        <f t="shared" si="1"/>
        <v/>
      </c>
    </row>
    <row r="1340">
      <c r="A1340" t="str">
        <f t="shared" si="1"/>
        <v/>
      </c>
    </row>
    <row r="1341">
      <c r="A1341" t="str">
        <f t="shared" si="1"/>
        <v/>
      </c>
    </row>
    <row r="1342">
      <c r="A1342" t="str">
        <f t="shared" si="1"/>
        <v/>
      </c>
    </row>
    <row r="1343">
      <c r="A1343" t="str">
        <f t="shared" si="1"/>
        <v/>
      </c>
    </row>
    <row r="1344">
      <c r="A1344" t="str">
        <f t="shared" si="1"/>
        <v/>
      </c>
    </row>
    <row r="1345">
      <c r="A1345" t="str">
        <f t="shared" si="1"/>
        <v/>
      </c>
    </row>
    <row r="1346">
      <c r="A1346" t="str">
        <f t="shared" si="1"/>
        <v/>
      </c>
    </row>
    <row r="1347">
      <c r="A1347" t="str">
        <f t="shared" si="1"/>
        <v/>
      </c>
    </row>
    <row r="1348">
      <c r="A1348" t="str">
        <f t="shared" si="1"/>
        <v/>
      </c>
    </row>
    <row r="1349">
      <c r="A1349" t="str">
        <f t="shared" si="1"/>
        <v/>
      </c>
    </row>
    <row r="1350">
      <c r="A1350" t="str">
        <f t="shared" si="1"/>
        <v/>
      </c>
    </row>
    <row r="1351">
      <c r="A1351" t="str">
        <f t="shared" si="1"/>
        <v/>
      </c>
    </row>
    <row r="1352">
      <c r="A1352" t="str">
        <f t="shared" si="1"/>
        <v/>
      </c>
    </row>
    <row r="1353">
      <c r="A1353" t="str">
        <f t="shared" si="1"/>
        <v/>
      </c>
    </row>
    <row r="1354">
      <c r="A1354" t="str">
        <f t="shared" si="1"/>
        <v/>
      </c>
    </row>
    <row r="1355">
      <c r="A1355" t="str">
        <f t="shared" si="1"/>
        <v/>
      </c>
    </row>
    <row r="1356">
      <c r="A1356" t="str">
        <f t="shared" si="1"/>
        <v/>
      </c>
    </row>
    <row r="1357">
      <c r="A1357" t="str">
        <f t="shared" si="1"/>
        <v/>
      </c>
    </row>
    <row r="1358">
      <c r="A1358" t="str">
        <f t="shared" si="1"/>
        <v/>
      </c>
    </row>
    <row r="1359">
      <c r="A1359" t="str">
        <f t="shared" si="1"/>
        <v/>
      </c>
    </row>
    <row r="1360">
      <c r="A1360" t="str">
        <f t="shared" si="1"/>
        <v/>
      </c>
    </row>
    <row r="1361">
      <c r="A1361" t="str">
        <f t="shared" si="1"/>
        <v/>
      </c>
    </row>
    <row r="1362">
      <c r="A1362" t="str">
        <f t="shared" si="1"/>
        <v/>
      </c>
    </row>
    <row r="1363">
      <c r="A1363" t="str">
        <f t="shared" si="1"/>
        <v/>
      </c>
    </row>
    <row r="1364">
      <c r="A1364" t="str">
        <f t="shared" si="1"/>
        <v/>
      </c>
    </row>
    <row r="1365">
      <c r="A1365" t="str">
        <f t="shared" si="1"/>
        <v/>
      </c>
    </row>
    <row r="1366">
      <c r="A1366" t="str">
        <f t="shared" si="1"/>
        <v/>
      </c>
    </row>
    <row r="1367">
      <c r="A1367" t="str">
        <f t="shared" si="1"/>
        <v/>
      </c>
    </row>
    <row r="1368">
      <c r="A1368" t="str">
        <f t="shared" si="1"/>
        <v/>
      </c>
    </row>
    <row r="1369">
      <c r="A1369" t="str">
        <f t="shared" si="1"/>
        <v/>
      </c>
    </row>
    <row r="1370">
      <c r="A1370" t="str">
        <f t="shared" si="1"/>
        <v/>
      </c>
    </row>
    <row r="1371">
      <c r="A1371" t="str">
        <f t="shared" si="1"/>
        <v/>
      </c>
    </row>
    <row r="1372">
      <c r="A1372" t="str">
        <f t="shared" si="1"/>
        <v/>
      </c>
    </row>
    <row r="1373">
      <c r="A1373" t="str">
        <f t="shared" si="1"/>
        <v/>
      </c>
    </row>
    <row r="1374">
      <c r="A1374" t="str">
        <f t="shared" si="1"/>
        <v/>
      </c>
    </row>
    <row r="1375">
      <c r="A1375" t="str">
        <f t="shared" si="1"/>
        <v/>
      </c>
    </row>
    <row r="1376">
      <c r="A1376" t="str">
        <f t="shared" si="1"/>
        <v/>
      </c>
    </row>
    <row r="1377">
      <c r="A1377" t="str">
        <f t="shared" si="1"/>
        <v/>
      </c>
    </row>
    <row r="1378">
      <c r="A1378" t="str">
        <f t="shared" si="1"/>
        <v/>
      </c>
    </row>
    <row r="1379">
      <c r="A1379" t="str">
        <f t="shared" si="1"/>
        <v/>
      </c>
    </row>
    <row r="1380">
      <c r="A1380" t="str">
        <f t="shared" si="1"/>
        <v/>
      </c>
    </row>
    <row r="1381">
      <c r="A1381" t="str">
        <f t="shared" si="1"/>
        <v/>
      </c>
    </row>
    <row r="1382">
      <c r="A1382" t="str">
        <f t="shared" si="1"/>
        <v/>
      </c>
    </row>
    <row r="1383">
      <c r="A1383" t="str">
        <f t="shared" si="1"/>
        <v/>
      </c>
    </row>
    <row r="1384">
      <c r="A1384" t="str">
        <f t="shared" si="1"/>
        <v/>
      </c>
    </row>
    <row r="1385">
      <c r="A1385" t="str">
        <f t="shared" si="1"/>
        <v/>
      </c>
    </row>
    <row r="1386">
      <c r="A1386" t="str">
        <f t="shared" si="1"/>
        <v/>
      </c>
    </row>
    <row r="1387">
      <c r="A1387" t="str">
        <f t="shared" si="1"/>
        <v/>
      </c>
    </row>
    <row r="1388">
      <c r="A1388" t="str">
        <f t="shared" si="1"/>
        <v/>
      </c>
    </row>
    <row r="1389">
      <c r="A1389" t="str">
        <f t="shared" si="1"/>
        <v/>
      </c>
    </row>
    <row r="1390">
      <c r="A1390" t="str">
        <f t="shared" si="1"/>
        <v/>
      </c>
    </row>
    <row r="1391">
      <c r="A1391" t="str">
        <f t="shared" si="1"/>
        <v/>
      </c>
    </row>
    <row r="1392">
      <c r="A1392" t="str">
        <f t="shared" si="1"/>
        <v/>
      </c>
    </row>
    <row r="1393">
      <c r="A1393" t="str">
        <f t="shared" si="1"/>
        <v/>
      </c>
    </row>
    <row r="1394">
      <c r="A1394" t="str">
        <f t="shared" si="1"/>
        <v/>
      </c>
    </row>
    <row r="1395">
      <c r="A1395" t="str">
        <f t="shared" si="1"/>
        <v/>
      </c>
    </row>
    <row r="1396">
      <c r="A1396" t="str">
        <f t="shared" si="1"/>
        <v/>
      </c>
    </row>
    <row r="1397">
      <c r="A1397" t="str">
        <f t="shared" si="1"/>
        <v/>
      </c>
    </row>
    <row r="1398">
      <c r="A1398" t="str">
        <f t="shared" si="1"/>
        <v/>
      </c>
    </row>
    <row r="1399">
      <c r="A1399" t="str">
        <f t="shared" si="1"/>
        <v/>
      </c>
    </row>
    <row r="1400">
      <c r="A1400" t="str">
        <f t="shared" si="1"/>
        <v/>
      </c>
    </row>
    <row r="1401">
      <c r="A1401" t="str">
        <f t="shared" si="1"/>
        <v/>
      </c>
    </row>
    <row r="1402">
      <c r="A1402" t="str">
        <f t="shared" si="1"/>
        <v/>
      </c>
    </row>
    <row r="1403">
      <c r="A1403" t="str">
        <f t="shared" si="1"/>
        <v/>
      </c>
    </row>
    <row r="1404">
      <c r="A1404" t="str">
        <f t="shared" si="1"/>
        <v/>
      </c>
    </row>
    <row r="1405">
      <c r="A1405" t="str">
        <f t="shared" si="1"/>
        <v/>
      </c>
    </row>
    <row r="1406">
      <c r="A1406" t="str">
        <f t="shared" si="1"/>
        <v/>
      </c>
    </row>
    <row r="1407">
      <c r="A1407" t="str">
        <f t="shared" si="1"/>
        <v/>
      </c>
    </row>
    <row r="1408">
      <c r="A1408" t="str">
        <f t="shared" si="1"/>
        <v/>
      </c>
    </row>
    <row r="1409">
      <c r="A1409" t="str">
        <f t="shared" si="1"/>
        <v/>
      </c>
    </row>
    <row r="1410">
      <c r="A1410" t="str">
        <f t="shared" si="1"/>
        <v/>
      </c>
    </row>
    <row r="1411">
      <c r="A1411" t="str">
        <f t="shared" si="1"/>
        <v/>
      </c>
    </row>
    <row r="1412">
      <c r="A1412" t="str">
        <f t="shared" si="1"/>
        <v/>
      </c>
    </row>
    <row r="1413">
      <c r="A1413" t="str">
        <f t="shared" si="1"/>
        <v/>
      </c>
    </row>
    <row r="1414">
      <c r="A1414" t="str">
        <f t="shared" si="1"/>
        <v/>
      </c>
    </row>
    <row r="1415">
      <c r="A1415" t="str">
        <f t="shared" si="1"/>
        <v/>
      </c>
    </row>
    <row r="1416">
      <c r="A1416" t="str">
        <f t="shared" si="1"/>
        <v/>
      </c>
    </row>
    <row r="1417">
      <c r="A1417" t="str">
        <f t="shared" si="1"/>
        <v/>
      </c>
    </row>
    <row r="1418">
      <c r="A1418" t="str">
        <f t="shared" si="1"/>
        <v/>
      </c>
    </row>
    <row r="1419">
      <c r="A1419" t="str">
        <f t="shared" si="1"/>
        <v/>
      </c>
    </row>
    <row r="1420">
      <c r="A1420" t="str">
        <f t="shared" si="1"/>
        <v/>
      </c>
    </row>
    <row r="1421">
      <c r="A1421" t="str">
        <f t="shared" si="1"/>
        <v/>
      </c>
    </row>
    <row r="1422">
      <c r="A1422" t="str">
        <f t="shared" si="1"/>
        <v/>
      </c>
    </row>
    <row r="1423">
      <c r="A1423" t="str">
        <f t="shared" si="1"/>
        <v/>
      </c>
    </row>
    <row r="1424">
      <c r="A1424" t="str">
        <f t="shared" si="1"/>
        <v/>
      </c>
    </row>
    <row r="1425">
      <c r="A1425" t="str">
        <f t="shared" si="1"/>
        <v/>
      </c>
    </row>
    <row r="1426">
      <c r="A1426" t="str">
        <f t="shared" si="1"/>
        <v/>
      </c>
    </row>
    <row r="1427">
      <c r="A1427" t="str">
        <f t="shared" si="1"/>
        <v/>
      </c>
    </row>
    <row r="1428">
      <c r="A1428" t="str">
        <f t="shared" si="1"/>
        <v/>
      </c>
    </row>
    <row r="1429">
      <c r="A1429" t="str">
        <f t="shared" si="1"/>
        <v/>
      </c>
    </row>
    <row r="1430">
      <c r="A1430" t="str">
        <f t="shared" si="1"/>
        <v/>
      </c>
    </row>
    <row r="1431">
      <c r="A1431" t="str">
        <f t="shared" si="1"/>
        <v/>
      </c>
    </row>
    <row r="1432">
      <c r="A1432" t="str">
        <f t="shared" si="1"/>
        <v/>
      </c>
    </row>
    <row r="1433">
      <c r="A1433" t="str">
        <f t="shared" si="1"/>
        <v/>
      </c>
    </row>
    <row r="1434">
      <c r="A1434" t="str">
        <f t="shared" si="1"/>
        <v/>
      </c>
    </row>
    <row r="1435">
      <c r="A1435" t="str">
        <f t="shared" si="1"/>
        <v/>
      </c>
    </row>
    <row r="1436">
      <c r="A1436" t="str">
        <f t="shared" si="1"/>
        <v/>
      </c>
    </row>
    <row r="1437">
      <c r="A1437" t="str">
        <f t="shared" si="1"/>
        <v/>
      </c>
    </row>
    <row r="1438">
      <c r="A1438" t="str">
        <f t="shared" si="1"/>
        <v/>
      </c>
    </row>
    <row r="1439">
      <c r="A1439" t="str">
        <f t="shared" si="1"/>
        <v/>
      </c>
    </row>
    <row r="1440">
      <c r="A1440" t="str">
        <f t="shared" si="1"/>
        <v/>
      </c>
    </row>
    <row r="1441">
      <c r="A1441" t="str">
        <f t="shared" si="1"/>
        <v/>
      </c>
    </row>
    <row r="1442">
      <c r="A1442" t="str">
        <f t="shared" si="1"/>
        <v/>
      </c>
    </row>
    <row r="1443">
      <c r="A1443" t="str">
        <f t="shared" si="1"/>
        <v/>
      </c>
    </row>
    <row r="1444">
      <c r="A1444" t="str">
        <f t="shared" si="1"/>
        <v/>
      </c>
    </row>
    <row r="1445">
      <c r="A1445" t="str">
        <f t="shared" si="1"/>
        <v/>
      </c>
    </row>
    <row r="1446">
      <c r="A1446" t="str">
        <f t="shared" si="1"/>
        <v/>
      </c>
    </row>
    <row r="1447">
      <c r="A1447" t="str">
        <f t="shared" si="1"/>
        <v/>
      </c>
    </row>
    <row r="1448">
      <c r="A1448" t="str">
        <f t="shared" si="1"/>
        <v/>
      </c>
    </row>
    <row r="1449">
      <c r="A1449" t="str">
        <f t="shared" si="1"/>
        <v/>
      </c>
    </row>
    <row r="1450">
      <c r="A1450" t="str">
        <f t="shared" si="1"/>
        <v/>
      </c>
    </row>
    <row r="1451">
      <c r="A1451" t="str">
        <f t="shared" si="1"/>
        <v/>
      </c>
    </row>
    <row r="1452">
      <c r="A1452" t="str">
        <f t="shared" si="1"/>
        <v/>
      </c>
    </row>
    <row r="1453">
      <c r="A1453" t="str">
        <f t="shared" si="1"/>
        <v/>
      </c>
    </row>
    <row r="1454">
      <c r="A1454" t="str">
        <f t="shared" si="1"/>
        <v/>
      </c>
    </row>
    <row r="1455">
      <c r="A1455" t="str">
        <f t="shared" si="1"/>
        <v/>
      </c>
    </row>
    <row r="1456">
      <c r="A1456" t="str">
        <f t="shared" si="1"/>
        <v/>
      </c>
    </row>
    <row r="1457">
      <c r="A1457" t="str">
        <f t="shared" si="1"/>
        <v/>
      </c>
    </row>
    <row r="1458">
      <c r="A1458" t="str">
        <f t="shared" si="1"/>
        <v/>
      </c>
    </row>
    <row r="1459">
      <c r="A1459" t="str">
        <f t="shared" si="1"/>
        <v/>
      </c>
    </row>
    <row r="1460">
      <c r="A1460" t="str">
        <f t="shared" si="1"/>
        <v/>
      </c>
    </row>
    <row r="1461">
      <c r="A1461" t="str">
        <f t="shared" si="1"/>
        <v/>
      </c>
    </row>
    <row r="1462">
      <c r="A1462" t="str">
        <f t="shared" si="1"/>
        <v/>
      </c>
    </row>
    <row r="1463">
      <c r="A1463" t="str">
        <f t="shared" si="1"/>
        <v/>
      </c>
    </row>
    <row r="1464">
      <c r="A1464" t="str">
        <f t="shared" si="1"/>
        <v/>
      </c>
    </row>
    <row r="1465">
      <c r="A1465" t="str">
        <f t="shared" si="1"/>
        <v/>
      </c>
    </row>
    <row r="1466">
      <c r="A1466" t="str">
        <f t="shared" si="1"/>
        <v/>
      </c>
    </row>
    <row r="1467">
      <c r="A1467" t="str">
        <f t="shared" si="1"/>
        <v/>
      </c>
    </row>
    <row r="1468">
      <c r="A1468" t="str">
        <f t="shared" si="1"/>
        <v/>
      </c>
    </row>
    <row r="1469">
      <c r="A1469" t="str">
        <f t="shared" si="1"/>
        <v/>
      </c>
    </row>
    <row r="1470">
      <c r="A1470" t="str">
        <f t="shared" si="1"/>
        <v/>
      </c>
    </row>
    <row r="1471">
      <c r="A1471" t="str">
        <f t="shared" si="1"/>
        <v/>
      </c>
    </row>
    <row r="1472">
      <c r="A1472" t="str">
        <f t="shared" si="1"/>
        <v/>
      </c>
    </row>
    <row r="1473">
      <c r="A1473" t="str">
        <f t="shared" si="1"/>
        <v/>
      </c>
    </row>
    <row r="1474">
      <c r="A1474" t="str">
        <f t="shared" si="1"/>
        <v/>
      </c>
    </row>
    <row r="1475">
      <c r="A1475" t="str">
        <f t="shared" si="1"/>
        <v/>
      </c>
    </row>
    <row r="1476">
      <c r="A1476" t="str">
        <f t="shared" si="1"/>
        <v/>
      </c>
    </row>
    <row r="1477">
      <c r="A1477" t="str">
        <f t="shared" si="1"/>
        <v/>
      </c>
    </row>
    <row r="1478">
      <c r="A1478" t="str">
        <f t="shared" si="1"/>
        <v/>
      </c>
    </row>
    <row r="1479">
      <c r="A1479" t="str">
        <f t="shared" si="1"/>
        <v/>
      </c>
    </row>
    <row r="1480">
      <c r="A1480" t="str">
        <f t="shared" si="1"/>
        <v/>
      </c>
    </row>
    <row r="1481">
      <c r="A1481" t="str">
        <f t="shared" si="1"/>
        <v/>
      </c>
    </row>
    <row r="1482">
      <c r="A1482" t="str">
        <f t="shared" si="1"/>
        <v/>
      </c>
    </row>
    <row r="1483">
      <c r="A1483" t="str">
        <f t="shared" si="1"/>
        <v/>
      </c>
    </row>
    <row r="1484">
      <c r="A1484" t="str">
        <f t="shared" si="1"/>
        <v/>
      </c>
    </row>
    <row r="1485">
      <c r="A1485" t="str">
        <f t="shared" si="1"/>
        <v/>
      </c>
    </row>
    <row r="1486">
      <c r="A1486" t="str">
        <f t="shared" si="1"/>
        <v/>
      </c>
    </row>
    <row r="1487">
      <c r="A1487" t="str">
        <f t="shared" si="1"/>
        <v/>
      </c>
    </row>
    <row r="1488">
      <c r="A1488" t="str">
        <f t="shared" si="1"/>
        <v/>
      </c>
    </row>
    <row r="1489">
      <c r="A1489" t="str">
        <f t="shared" si="1"/>
        <v/>
      </c>
    </row>
    <row r="1490">
      <c r="A1490" t="str">
        <f t="shared" si="1"/>
        <v/>
      </c>
    </row>
    <row r="1491">
      <c r="A1491" t="str">
        <f t="shared" si="1"/>
        <v/>
      </c>
    </row>
    <row r="1492">
      <c r="A1492" t="str">
        <f t="shared" si="1"/>
        <v/>
      </c>
    </row>
    <row r="1493">
      <c r="A1493" t="str">
        <f t="shared" si="1"/>
        <v/>
      </c>
    </row>
    <row r="1494">
      <c r="A1494" t="str">
        <f t="shared" si="1"/>
        <v/>
      </c>
    </row>
    <row r="1495">
      <c r="A1495" t="str">
        <f t="shared" si="1"/>
        <v/>
      </c>
    </row>
    <row r="1496">
      <c r="A1496" t="str">
        <f t="shared" si="1"/>
        <v/>
      </c>
    </row>
    <row r="1497">
      <c r="A1497" t="str">
        <f t="shared" si="1"/>
        <v/>
      </c>
    </row>
    <row r="1498">
      <c r="A1498" t="str">
        <f t="shared" si="1"/>
        <v/>
      </c>
    </row>
    <row r="1499">
      <c r="A1499" t="str">
        <f t="shared" si="1"/>
        <v/>
      </c>
    </row>
    <row r="1500">
      <c r="A1500" t="str">
        <f t="shared" si="1"/>
        <v/>
      </c>
    </row>
    <row r="1501">
      <c r="A1501" t="str">
        <f t="shared" si="1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09" t="s">
        <v>36</v>
      </c>
    </row>
    <row r="2" ht="14.25" customHeight="1">
      <c r="A2" t="s">
        <v>37</v>
      </c>
    </row>
    <row r="3" ht="14.25" customHeight="1">
      <c r="A3" s="109" t="s">
        <v>38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t="s">
        <v>39</v>
      </c>
    </row>
    <row r="2" ht="14.25" customHeight="1"/>
    <row r="3" ht="14.25" customHeight="1"/>
    <row r="4" ht="14.25" customHeight="1"/>
    <row r="5" ht="14.25" customHeight="1">
      <c r="A5" t="s">
        <v>40</v>
      </c>
    </row>
    <row r="6" ht="14.25" customHeight="1"/>
    <row r="7" ht="14.25" customHeight="1"/>
    <row r="8" ht="14.25" customHeight="1"/>
    <row r="9" ht="14.25" customHeight="1"/>
    <row r="10" ht="14.25" customHeight="1">
      <c r="A10" t="s">
        <v>41</v>
      </c>
    </row>
    <row r="11" ht="14.25" customHeight="1">
      <c r="A11" t="s">
        <v>42</v>
      </c>
    </row>
    <row r="12" ht="14.25" customHeight="1"/>
    <row r="13" ht="14.25" customHeight="1">
      <c r="A13" t="s">
        <v>43</v>
      </c>
    </row>
    <row r="14" ht="14.25" customHeight="1">
      <c r="A14" s="109" t="s">
        <v>44</v>
      </c>
    </row>
    <row r="15" ht="14.25" customHeight="1">
      <c r="A15" s="109" t="s">
        <v>45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5">
      <formula1>A1:A25</formula1>
    </dataValidation>
    <dataValidation type="list" allowBlank="1" showErrorMessage="1" sqref="A24 A26">
      <formula1>CREW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0"/>
    <col customWidth="1" min="3" max="26" width="8.71"/>
  </cols>
  <sheetData>
    <row r="1" ht="14.25" customHeight="1">
      <c r="A1" s="110" t="s">
        <v>46</v>
      </c>
      <c r="B1" s="111">
        <v>60.0</v>
      </c>
    </row>
    <row r="2" ht="14.25" customHeight="1">
      <c r="A2" s="110" t="s">
        <v>47</v>
      </c>
      <c r="B2" s="111">
        <f t="shared" ref="B2:B21" si="1">B1+5</f>
        <v>65</v>
      </c>
    </row>
    <row r="3" ht="14.25" customHeight="1">
      <c r="A3" s="110" t="s">
        <v>48</v>
      </c>
      <c r="B3" s="111">
        <f t="shared" si="1"/>
        <v>70</v>
      </c>
    </row>
    <row r="4" ht="14.25" customHeight="1">
      <c r="A4" s="110" t="s">
        <v>49</v>
      </c>
      <c r="B4" s="111">
        <f t="shared" si="1"/>
        <v>75</v>
      </c>
    </row>
    <row r="5" ht="14.25" customHeight="1">
      <c r="A5" s="110" t="s">
        <v>15</v>
      </c>
      <c r="B5" s="111">
        <f t="shared" si="1"/>
        <v>80</v>
      </c>
    </row>
    <row r="6" ht="14.25" customHeight="1">
      <c r="A6" s="110" t="s">
        <v>50</v>
      </c>
      <c r="B6" s="111">
        <f t="shared" si="1"/>
        <v>85</v>
      </c>
    </row>
    <row r="7" ht="14.25" customHeight="1">
      <c r="A7" s="110" t="s">
        <v>51</v>
      </c>
      <c r="B7" s="111">
        <f t="shared" si="1"/>
        <v>90</v>
      </c>
    </row>
    <row r="8" ht="14.25" customHeight="1">
      <c r="A8" s="110" t="s">
        <v>52</v>
      </c>
      <c r="B8" s="111">
        <f t="shared" si="1"/>
        <v>95</v>
      </c>
    </row>
    <row r="9" ht="14.25" customHeight="1">
      <c r="A9" s="110" t="s">
        <v>53</v>
      </c>
      <c r="B9" s="111">
        <f t="shared" si="1"/>
        <v>100</v>
      </c>
    </row>
    <row r="10" ht="14.25" customHeight="1">
      <c r="A10" s="110" t="s">
        <v>54</v>
      </c>
      <c r="B10" s="111">
        <f t="shared" si="1"/>
        <v>105</v>
      </c>
    </row>
    <row r="11" ht="14.25" customHeight="1">
      <c r="A11" s="110" t="s">
        <v>55</v>
      </c>
      <c r="B11" s="111">
        <f t="shared" si="1"/>
        <v>110</v>
      </c>
    </row>
    <row r="12" ht="14.25" customHeight="1">
      <c r="A12" s="110" t="s">
        <v>56</v>
      </c>
      <c r="B12" s="111">
        <f t="shared" si="1"/>
        <v>115</v>
      </c>
    </row>
    <row r="13" ht="14.25" customHeight="1">
      <c r="A13" s="110" t="s">
        <v>57</v>
      </c>
      <c r="B13" s="111">
        <f t="shared" si="1"/>
        <v>120</v>
      </c>
    </row>
    <row r="14" ht="14.25" customHeight="1">
      <c r="A14" s="110" t="s">
        <v>58</v>
      </c>
      <c r="B14" s="111">
        <f t="shared" si="1"/>
        <v>125</v>
      </c>
    </row>
    <row r="15" ht="14.25" customHeight="1">
      <c r="A15" s="110" t="s">
        <v>59</v>
      </c>
      <c r="B15" s="111">
        <f t="shared" si="1"/>
        <v>130</v>
      </c>
    </row>
    <row r="16" ht="14.25" customHeight="1">
      <c r="A16" s="110" t="s">
        <v>60</v>
      </c>
      <c r="B16" s="111">
        <f t="shared" si="1"/>
        <v>135</v>
      </c>
    </row>
    <row r="17" ht="14.25" customHeight="1">
      <c r="A17" s="110" t="s">
        <v>61</v>
      </c>
      <c r="B17" s="111">
        <f t="shared" si="1"/>
        <v>140</v>
      </c>
    </row>
    <row r="18" ht="14.25" customHeight="1">
      <c r="A18" s="110" t="s">
        <v>62</v>
      </c>
      <c r="B18" s="111">
        <f t="shared" si="1"/>
        <v>145</v>
      </c>
    </row>
    <row r="19" ht="14.25" customHeight="1">
      <c r="A19" s="110" t="s">
        <v>63</v>
      </c>
      <c r="B19" s="111">
        <f t="shared" si="1"/>
        <v>150</v>
      </c>
    </row>
    <row r="20" ht="14.25" customHeight="1">
      <c r="A20" s="110" t="s">
        <v>64</v>
      </c>
      <c r="B20" s="111">
        <f t="shared" si="1"/>
        <v>155</v>
      </c>
    </row>
    <row r="21" ht="14.25" customHeight="1">
      <c r="A21" s="110" t="s">
        <v>65</v>
      </c>
      <c r="B21" s="111">
        <f t="shared" si="1"/>
        <v>160</v>
      </c>
    </row>
    <row r="22" ht="14.25" customHeight="1">
      <c r="B22" s="112"/>
    </row>
    <row r="23" ht="14.25" customHeight="1">
      <c r="A23" s="109" t="s">
        <v>66</v>
      </c>
      <c r="B23" s="111">
        <v>60.0</v>
      </c>
    </row>
    <row r="24" ht="14.25" customHeight="1">
      <c r="B24" s="112"/>
    </row>
    <row r="25" ht="14.25" customHeight="1">
      <c r="B25" s="112"/>
    </row>
    <row r="26" ht="14.25" customHeight="1">
      <c r="B26" s="112"/>
    </row>
    <row r="27" ht="14.25" customHeight="1">
      <c r="B27" s="112"/>
    </row>
    <row r="28" ht="14.25" customHeight="1">
      <c r="B28" s="112"/>
    </row>
    <row r="29" ht="14.25" customHeight="1">
      <c r="B29" s="112"/>
    </row>
    <row r="30" ht="14.25" customHeight="1">
      <c r="B30" s="112"/>
    </row>
    <row r="31" ht="14.25" customHeight="1">
      <c r="B31" s="112"/>
    </row>
    <row r="32" ht="14.25" customHeight="1">
      <c r="B32" s="112"/>
    </row>
    <row r="33" ht="14.25" customHeight="1">
      <c r="B33" s="112"/>
    </row>
    <row r="34" ht="14.25" customHeight="1">
      <c r="B34" s="112"/>
    </row>
    <row r="35" ht="14.25" customHeight="1">
      <c r="B35" s="112"/>
    </row>
    <row r="36" ht="14.25" customHeight="1">
      <c r="B36" s="112"/>
    </row>
    <row r="37" ht="14.25" customHeight="1">
      <c r="B37" s="112"/>
    </row>
    <row r="38" ht="14.25" customHeight="1">
      <c r="B38" s="112"/>
    </row>
    <row r="39" ht="14.25" customHeight="1">
      <c r="B39" s="112"/>
    </row>
    <row r="40" ht="14.25" customHeight="1">
      <c r="B40" s="112"/>
    </row>
    <row r="41" ht="14.25" customHeight="1">
      <c r="B41" s="112"/>
    </row>
    <row r="42" ht="14.25" customHeight="1">
      <c r="B42" s="112"/>
    </row>
    <row r="43" ht="14.25" customHeight="1">
      <c r="B43" s="112"/>
    </row>
    <row r="44" ht="14.25" customHeight="1">
      <c r="B44" s="112"/>
    </row>
    <row r="45" ht="14.25" customHeight="1">
      <c r="B45" s="112"/>
    </row>
    <row r="46" ht="14.25" customHeight="1">
      <c r="B46" s="112"/>
    </row>
    <row r="47" ht="14.25" customHeight="1">
      <c r="B47" s="112"/>
    </row>
    <row r="48" ht="14.25" customHeight="1">
      <c r="B48" s="112"/>
    </row>
    <row r="49" ht="14.25" customHeight="1">
      <c r="B49" s="112"/>
    </row>
    <row r="50" ht="14.25" customHeight="1">
      <c r="B50" s="112"/>
    </row>
    <row r="51" ht="14.25" customHeight="1">
      <c r="B51" s="112"/>
    </row>
    <row r="52" ht="14.25" customHeight="1">
      <c r="B52" s="112"/>
    </row>
    <row r="53" ht="14.25" customHeight="1">
      <c r="B53" s="112"/>
    </row>
    <row r="54" ht="14.25" customHeight="1">
      <c r="B54" s="112"/>
    </row>
    <row r="55" ht="14.25" customHeight="1">
      <c r="B55" s="112"/>
    </row>
    <row r="56" ht="14.25" customHeight="1">
      <c r="B56" s="112"/>
    </row>
    <row r="57" ht="14.25" customHeight="1">
      <c r="B57" s="112"/>
    </row>
    <row r="58" ht="14.25" customHeight="1">
      <c r="B58" s="112"/>
    </row>
    <row r="59" ht="14.25" customHeight="1">
      <c r="B59" s="112"/>
    </row>
    <row r="60" ht="14.25" customHeight="1">
      <c r="B60" s="112"/>
    </row>
    <row r="61" ht="14.25" customHeight="1">
      <c r="B61" s="112"/>
    </row>
    <row r="62" ht="14.25" customHeight="1">
      <c r="B62" s="112"/>
    </row>
    <row r="63" ht="14.25" customHeight="1">
      <c r="B63" s="112"/>
    </row>
    <row r="64" ht="14.25" customHeight="1">
      <c r="B64" s="112"/>
    </row>
    <row r="65" ht="14.25" customHeight="1">
      <c r="B65" s="112"/>
    </row>
    <row r="66" ht="14.25" customHeight="1">
      <c r="B66" s="112"/>
    </row>
    <row r="67" ht="14.25" customHeight="1">
      <c r="B67" s="112"/>
    </row>
    <row r="68" ht="14.25" customHeight="1">
      <c r="B68" s="112"/>
    </row>
    <row r="69" ht="14.25" customHeight="1">
      <c r="B69" s="112"/>
    </row>
    <row r="70" ht="14.25" customHeight="1">
      <c r="B70" s="112"/>
    </row>
    <row r="71" ht="14.25" customHeight="1">
      <c r="B71" s="112"/>
    </row>
    <row r="72" ht="14.25" customHeight="1">
      <c r="B72" s="112"/>
    </row>
    <row r="73" ht="14.25" customHeight="1">
      <c r="B73" s="112"/>
    </row>
    <row r="74" ht="14.25" customHeight="1">
      <c r="B74" s="112"/>
    </row>
    <row r="75" ht="14.25" customHeight="1">
      <c r="B75" s="112"/>
    </row>
    <row r="76" ht="14.25" customHeight="1">
      <c r="B76" s="112"/>
    </row>
    <row r="77" ht="14.25" customHeight="1">
      <c r="B77" s="112"/>
    </row>
    <row r="78" ht="14.25" customHeight="1">
      <c r="B78" s="112"/>
    </row>
    <row r="79" ht="14.25" customHeight="1">
      <c r="B79" s="112"/>
    </row>
    <row r="80" ht="14.25" customHeight="1">
      <c r="B80" s="112"/>
    </row>
    <row r="81" ht="14.25" customHeight="1">
      <c r="B81" s="112"/>
    </row>
    <row r="82" ht="14.25" customHeight="1">
      <c r="B82" s="112"/>
    </row>
    <row r="83" ht="14.25" customHeight="1">
      <c r="B83" s="112"/>
    </row>
    <row r="84" ht="14.25" customHeight="1">
      <c r="B84" s="112"/>
    </row>
    <row r="85" ht="14.25" customHeight="1">
      <c r="B85" s="112"/>
    </row>
    <row r="86" ht="14.25" customHeight="1">
      <c r="B86" s="112"/>
    </row>
    <row r="87" ht="14.25" customHeight="1">
      <c r="B87" s="112"/>
    </row>
    <row r="88" ht="14.25" customHeight="1">
      <c r="B88" s="112"/>
    </row>
    <row r="89" ht="14.25" customHeight="1">
      <c r="B89" s="112"/>
    </row>
    <row r="90" ht="14.25" customHeight="1">
      <c r="B90" s="112"/>
    </row>
    <row r="91" ht="14.25" customHeight="1">
      <c r="B91" s="112"/>
    </row>
    <row r="92" ht="14.25" customHeight="1">
      <c r="B92" s="112"/>
    </row>
    <row r="93" ht="14.25" customHeight="1">
      <c r="B93" s="112"/>
    </row>
    <row r="94" ht="14.25" customHeight="1">
      <c r="B94" s="112"/>
    </row>
    <row r="95" ht="14.25" customHeight="1">
      <c r="B95" s="112"/>
    </row>
    <row r="96" ht="14.25" customHeight="1">
      <c r="B96" s="112"/>
    </row>
    <row r="97" ht="14.25" customHeight="1">
      <c r="B97" s="112"/>
    </row>
    <row r="98" ht="14.25" customHeight="1">
      <c r="B98" s="112"/>
    </row>
    <row r="99" ht="14.25" customHeight="1">
      <c r="B99" s="112"/>
    </row>
    <row r="100" ht="14.25" customHeight="1">
      <c r="B100" s="112"/>
    </row>
    <row r="101" ht="14.25" customHeight="1">
      <c r="B101" s="112"/>
    </row>
    <row r="102" ht="14.25" customHeight="1">
      <c r="B102" s="112"/>
    </row>
    <row r="103" ht="14.25" customHeight="1">
      <c r="B103" s="112"/>
    </row>
    <row r="104" ht="14.25" customHeight="1">
      <c r="B104" s="112"/>
    </row>
    <row r="105" ht="14.25" customHeight="1">
      <c r="B105" s="112"/>
    </row>
    <row r="106" ht="14.25" customHeight="1">
      <c r="B106" s="112"/>
    </row>
    <row r="107" ht="14.25" customHeight="1">
      <c r="B107" s="112"/>
    </row>
    <row r="108" ht="14.25" customHeight="1">
      <c r="B108" s="112"/>
    </row>
    <row r="109" ht="14.25" customHeight="1">
      <c r="B109" s="112"/>
    </row>
    <row r="110" ht="14.25" customHeight="1">
      <c r="B110" s="112"/>
    </row>
    <row r="111" ht="14.25" customHeight="1">
      <c r="B111" s="112"/>
    </row>
    <row r="112" ht="14.25" customHeight="1">
      <c r="B112" s="112"/>
    </row>
    <row r="113" ht="14.25" customHeight="1">
      <c r="B113" s="112"/>
    </row>
    <row r="114" ht="14.25" customHeight="1">
      <c r="B114" s="112"/>
    </row>
    <row r="115" ht="14.25" customHeight="1">
      <c r="B115" s="112"/>
    </row>
    <row r="116" ht="14.25" customHeight="1">
      <c r="B116" s="112"/>
    </row>
    <row r="117" ht="14.25" customHeight="1">
      <c r="B117" s="112"/>
    </row>
    <row r="118" ht="14.25" customHeight="1">
      <c r="B118" s="112"/>
    </row>
    <row r="119" ht="14.25" customHeight="1">
      <c r="B119" s="112"/>
    </row>
    <row r="120" ht="14.25" customHeight="1">
      <c r="B120" s="112"/>
    </row>
    <row r="121" ht="14.25" customHeight="1">
      <c r="B121" s="112"/>
    </row>
    <row r="122" ht="14.25" customHeight="1">
      <c r="B122" s="112"/>
    </row>
    <row r="123" ht="14.25" customHeight="1">
      <c r="B123" s="112"/>
    </row>
    <row r="124" ht="14.25" customHeight="1">
      <c r="B124" s="112"/>
    </row>
    <row r="125" ht="14.25" customHeight="1">
      <c r="B125" s="112"/>
    </row>
    <row r="126" ht="14.25" customHeight="1">
      <c r="B126" s="112"/>
    </row>
    <row r="127" ht="14.25" customHeight="1">
      <c r="B127" s="112"/>
    </row>
    <row r="128" ht="14.25" customHeight="1">
      <c r="B128" s="112"/>
    </row>
    <row r="129" ht="14.25" customHeight="1">
      <c r="B129" s="112"/>
    </row>
    <row r="130" ht="14.25" customHeight="1">
      <c r="B130" s="112"/>
    </row>
    <row r="131" ht="14.25" customHeight="1">
      <c r="B131" s="112"/>
    </row>
    <row r="132" ht="14.25" customHeight="1">
      <c r="B132" s="112"/>
    </row>
    <row r="133" ht="14.25" customHeight="1">
      <c r="B133" s="112"/>
    </row>
    <row r="134" ht="14.25" customHeight="1">
      <c r="B134" s="112"/>
    </row>
    <row r="135" ht="14.25" customHeight="1">
      <c r="B135" s="112"/>
    </row>
    <row r="136" ht="14.25" customHeight="1">
      <c r="B136" s="112"/>
    </row>
    <row r="137" ht="14.25" customHeight="1">
      <c r="B137" s="112"/>
    </row>
    <row r="138" ht="14.25" customHeight="1">
      <c r="B138" s="112"/>
    </row>
    <row r="139" ht="14.25" customHeight="1">
      <c r="B139" s="112"/>
    </row>
    <row r="140" ht="14.25" customHeight="1">
      <c r="B140" s="112"/>
    </row>
    <row r="141" ht="14.25" customHeight="1">
      <c r="B141" s="112"/>
    </row>
    <row r="142" ht="14.25" customHeight="1">
      <c r="B142" s="112"/>
    </row>
    <row r="143" ht="14.25" customHeight="1">
      <c r="B143" s="112"/>
    </row>
    <row r="144" ht="14.25" customHeight="1">
      <c r="B144" s="112"/>
    </row>
    <row r="145" ht="14.25" customHeight="1">
      <c r="B145" s="112"/>
    </row>
    <row r="146" ht="14.25" customHeight="1">
      <c r="B146" s="112"/>
    </row>
    <row r="147" ht="14.25" customHeight="1">
      <c r="B147" s="112"/>
    </row>
    <row r="148" ht="14.25" customHeight="1">
      <c r="B148" s="112"/>
    </row>
    <row r="149" ht="14.25" customHeight="1">
      <c r="B149" s="112"/>
    </row>
    <row r="150" ht="14.25" customHeight="1">
      <c r="B150" s="112"/>
    </row>
    <row r="151" ht="14.25" customHeight="1">
      <c r="B151" s="112"/>
    </row>
    <row r="152" ht="14.25" customHeight="1">
      <c r="B152" s="112"/>
    </row>
    <row r="153" ht="14.25" customHeight="1">
      <c r="B153" s="112"/>
    </row>
    <row r="154" ht="14.25" customHeight="1">
      <c r="B154" s="112"/>
    </row>
    <row r="155" ht="14.25" customHeight="1">
      <c r="B155" s="112"/>
    </row>
    <row r="156" ht="14.25" customHeight="1">
      <c r="B156" s="112"/>
    </row>
    <row r="157" ht="14.25" customHeight="1">
      <c r="B157" s="112"/>
    </row>
    <row r="158" ht="14.25" customHeight="1">
      <c r="B158" s="112"/>
    </row>
    <row r="159" ht="14.25" customHeight="1">
      <c r="B159" s="112"/>
    </row>
    <row r="160" ht="14.25" customHeight="1">
      <c r="B160" s="112"/>
    </row>
    <row r="161" ht="14.25" customHeight="1">
      <c r="B161" s="112"/>
    </row>
    <row r="162" ht="14.25" customHeight="1">
      <c r="B162" s="112"/>
    </row>
    <row r="163" ht="14.25" customHeight="1">
      <c r="B163" s="112"/>
    </row>
    <row r="164" ht="14.25" customHeight="1">
      <c r="B164" s="112"/>
    </row>
    <row r="165" ht="14.25" customHeight="1">
      <c r="B165" s="112"/>
    </row>
    <row r="166" ht="14.25" customHeight="1">
      <c r="B166" s="112"/>
    </row>
    <row r="167" ht="14.25" customHeight="1">
      <c r="B167" s="112"/>
    </row>
    <row r="168" ht="14.25" customHeight="1">
      <c r="B168" s="112"/>
    </row>
    <row r="169" ht="14.25" customHeight="1">
      <c r="B169" s="112"/>
    </row>
    <row r="170" ht="14.25" customHeight="1">
      <c r="B170" s="112"/>
    </row>
    <row r="171" ht="14.25" customHeight="1">
      <c r="B171" s="112"/>
    </row>
    <row r="172" ht="14.25" customHeight="1">
      <c r="B172" s="112"/>
    </row>
    <row r="173" ht="14.25" customHeight="1">
      <c r="B173" s="112"/>
    </row>
    <row r="174" ht="14.25" customHeight="1">
      <c r="B174" s="112"/>
    </row>
    <row r="175" ht="14.25" customHeight="1">
      <c r="B175" s="112"/>
    </row>
    <row r="176" ht="14.25" customHeight="1">
      <c r="B176" s="112"/>
    </row>
    <row r="177" ht="14.25" customHeight="1">
      <c r="B177" s="112"/>
    </row>
    <row r="178" ht="14.25" customHeight="1">
      <c r="B178" s="112"/>
    </row>
    <row r="179" ht="14.25" customHeight="1">
      <c r="B179" s="112"/>
    </row>
    <row r="180" ht="14.25" customHeight="1">
      <c r="B180" s="112"/>
    </row>
    <row r="181" ht="14.25" customHeight="1">
      <c r="B181" s="112"/>
    </row>
    <row r="182" ht="14.25" customHeight="1">
      <c r="B182" s="112"/>
    </row>
    <row r="183" ht="14.25" customHeight="1">
      <c r="B183" s="112"/>
    </row>
    <row r="184" ht="14.25" customHeight="1">
      <c r="B184" s="112"/>
    </row>
    <row r="185" ht="14.25" customHeight="1">
      <c r="B185" s="112"/>
    </row>
    <row r="186" ht="14.25" customHeight="1">
      <c r="B186" s="112"/>
    </row>
    <row r="187" ht="14.25" customHeight="1">
      <c r="B187" s="112"/>
    </row>
    <row r="188" ht="14.25" customHeight="1">
      <c r="B188" s="112"/>
    </row>
    <row r="189" ht="14.25" customHeight="1">
      <c r="B189" s="112"/>
    </row>
    <row r="190" ht="14.25" customHeight="1">
      <c r="B190" s="112"/>
    </row>
    <row r="191" ht="14.25" customHeight="1">
      <c r="B191" s="112"/>
    </row>
    <row r="192" ht="14.25" customHeight="1">
      <c r="B192" s="112"/>
    </row>
    <row r="193" ht="14.25" customHeight="1">
      <c r="B193" s="112"/>
    </row>
    <row r="194" ht="14.25" customHeight="1">
      <c r="B194" s="112"/>
    </row>
    <row r="195" ht="14.25" customHeight="1">
      <c r="B195" s="112"/>
    </row>
    <row r="196" ht="14.25" customHeight="1">
      <c r="B196" s="112"/>
    </row>
    <row r="197" ht="14.25" customHeight="1">
      <c r="B197" s="112"/>
    </row>
    <row r="198" ht="14.25" customHeight="1">
      <c r="B198" s="112"/>
    </row>
    <row r="199" ht="14.25" customHeight="1">
      <c r="B199" s="112"/>
    </row>
    <row r="200" ht="14.25" customHeight="1">
      <c r="B200" s="112"/>
    </row>
    <row r="201" ht="14.25" customHeight="1">
      <c r="B201" s="112"/>
    </row>
    <row r="202" ht="14.25" customHeight="1">
      <c r="B202" s="112"/>
    </row>
    <row r="203" ht="14.25" customHeight="1">
      <c r="B203" s="112"/>
    </row>
    <row r="204" ht="14.25" customHeight="1">
      <c r="B204" s="112"/>
    </row>
    <row r="205" ht="14.25" customHeight="1">
      <c r="B205" s="112"/>
    </row>
    <row r="206" ht="14.25" customHeight="1">
      <c r="B206" s="112"/>
    </row>
    <row r="207" ht="14.25" customHeight="1">
      <c r="B207" s="112"/>
    </row>
    <row r="208" ht="14.25" customHeight="1">
      <c r="B208" s="112"/>
    </row>
    <row r="209" ht="14.25" customHeight="1">
      <c r="B209" s="112"/>
    </row>
    <row r="210" ht="14.25" customHeight="1">
      <c r="B210" s="112"/>
    </row>
    <row r="211" ht="14.25" customHeight="1">
      <c r="B211" s="112"/>
    </row>
    <row r="212" ht="14.25" customHeight="1">
      <c r="B212" s="112"/>
    </row>
    <row r="213" ht="14.25" customHeight="1">
      <c r="B213" s="112"/>
    </row>
    <row r="214" ht="14.25" customHeight="1">
      <c r="B214" s="112"/>
    </row>
    <row r="215" ht="14.25" customHeight="1">
      <c r="B215" s="112"/>
    </row>
    <row r="216" ht="14.25" customHeight="1">
      <c r="B216" s="112"/>
    </row>
    <row r="217" ht="14.25" customHeight="1">
      <c r="B217" s="112"/>
    </row>
    <row r="218" ht="14.25" customHeight="1">
      <c r="B218" s="112"/>
    </row>
    <row r="219" ht="14.25" customHeight="1">
      <c r="B219" s="112"/>
    </row>
    <row r="220" ht="14.25" customHeight="1">
      <c r="B220" s="112"/>
    </row>
    <row r="221" ht="14.25" customHeight="1">
      <c r="B221" s="112"/>
    </row>
    <row r="222" ht="14.25" customHeight="1">
      <c r="B222" s="112"/>
    </row>
    <row r="223" ht="14.25" customHeight="1">
      <c r="B223" s="112"/>
    </row>
    <row r="224" ht="14.25" customHeight="1">
      <c r="B224" s="112"/>
    </row>
    <row r="225" ht="14.25" customHeight="1">
      <c r="B225" s="112"/>
    </row>
    <row r="226" ht="14.25" customHeight="1">
      <c r="B226" s="112"/>
    </row>
    <row r="227" ht="14.25" customHeight="1">
      <c r="B227" s="112"/>
    </row>
    <row r="228" ht="14.25" customHeight="1">
      <c r="B228" s="112"/>
    </row>
    <row r="229" ht="14.25" customHeight="1">
      <c r="B229" s="112"/>
    </row>
    <row r="230" ht="14.25" customHeight="1">
      <c r="B230" s="112"/>
    </row>
    <row r="231" ht="14.25" customHeight="1">
      <c r="B231" s="112"/>
    </row>
    <row r="232" ht="14.25" customHeight="1">
      <c r="B232" s="112"/>
    </row>
    <row r="233" ht="14.25" customHeight="1">
      <c r="B233" s="112"/>
    </row>
    <row r="234" ht="14.25" customHeight="1">
      <c r="B234" s="112"/>
    </row>
    <row r="235" ht="14.25" customHeight="1">
      <c r="B235" s="112"/>
    </row>
    <row r="236" ht="14.25" customHeight="1">
      <c r="B236" s="112"/>
    </row>
    <row r="237" ht="14.25" customHeight="1">
      <c r="B237" s="112"/>
    </row>
    <row r="238" ht="14.25" customHeight="1">
      <c r="B238" s="112"/>
    </row>
    <row r="239" ht="14.25" customHeight="1">
      <c r="B239" s="112"/>
    </row>
    <row r="240" ht="14.25" customHeight="1">
      <c r="B240" s="112"/>
    </row>
    <row r="241" ht="14.25" customHeight="1">
      <c r="B241" s="112"/>
    </row>
    <row r="242" ht="14.25" customHeight="1">
      <c r="B242" s="112"/>
    </row>
    <row r="243" ht="14.25" customHeight="1">
      <c r="B243" s="112"/>
    </row>
    <row r="244" ht="14.25" customHeight="1">
      <c r="B244" s="112"/>
    </row>
    <row r="245" ht="14.25" customHeight="1">
      <c r="B245" s="112"/>
    </row>
    <row r="246" ht="14.25" customHeight="1">
      <c r="B246" s="112"/>
    </row>
    <row r="247" ht="14.25" customHeight="1">
      <c r="B247" s="112"/>
    </row>
    <row r="248" ht="14.25" customHeight="1">
      <c r="B248" s="112"/>
    </row>
    <row r="249" ht="14.25" customHeight="1">
      <c r="B249" s="112"/>
    </row>
    <row r="250" ht="14.25" customHeight="1">
      <c r="B250" s="112"/>
    </row>
    <row r="251" ht="14.25" customHeight="1">
      <c r="B251" s="112"/>
    </row>
    <row r="252" ht="14.25" customHeight="1">
      <c r="B252" s="112"/>
    </row>
    <row r="253" ht="14.25" customHeight="1">
      <c r="B253" s="112"/>
    </row>
    <row r="254" ht="14.25" customHeight="1">
      <c r="B254" s="112"/>
    </row>
    <row r="255" ht="14.25" customHeight="1">
      <c r="B255" s="112"/>
    </row>
    <row r="256" ht="14.25" customHeight="1">
      <c r="B256" s="112"/>
    </row>
    <row r="257" ht="14.25" customHeight="1">
      <c r="B257" s="112"/>
    </row>
    <row r="258" ht="14.25" customHeight="1">
      <c r="B258" s="112"/>
    </row>
    <row r="259" ht="14.25" customHeight="1">
      <c r="B259" s="112"/>
    </row>
    <row r="260" ht="14.25" customHeight="1">
      <c r="B260" s="112"/>
    </row>
    <row r="261" ht="14.25" customHeight="1">
      <c r="B261" s="112"/>
    </row>
    <row r="262" ht="14.25" customHeight="1">
      <c r="B262" s="112"/>
    </row>
    <row r="263" ht="14.25" customHeight="1">
      <c r="B263" s="112"/>
    </row>
    <row r="264" ht="14.25" customHeight="1">
      <c r="B264" s="112"/>
    </row>
    <row r="265" ht="14.25" customHeight="1">
      <c r="B265" s="112"/>
    </row>
    <row r="266" ht="14.25" customHeight="1">
      <c r="B266" s="112"/>
    </row>
    <row r="267" ht="14.25" customHeight="1">
      <c r="B267" s="112"/>
    </row>
    <row r="268" ht="14.25" customHeight="1">
      <c r="B268" s="112"/>
    </row>
    <row r="269" ht="14.25" customHeight="1">
      <c r="B269" s="112"/>
    </row>
    <row r="270" ht="14.25" customHeight="1">
      <c r="B270" s="112"/>
    </row>
    <row r="271" ht="14.25" customHeight="1">
      <c r="B271" s="112"/>
    </row>
    <row r="272" ht="14.25" customHeight="1">
      <c r="B272" s="112"/>
    </row>
    <row r="273" ht="14.25" customHeight="1">
      <c r="B273" s="112"/>
    </row>
    <row r="274" ht="14.25" customHeight="1">
      <c r="B274" s="112"/>
    </row>
    <row r="275" ht="14.25" customHeight="1">
      <c r="B275" s="112"/>
    </row>
    <row r="276" ht="14.25" customHeight="1">
      <c r="B276" s="112"/>
    </row>
    <row r="277" ht="14.25" customHeight="1">
      <c r="B277" s="112"/>
    </row>
    <row r="278" ht="14.25" customHeight="1">
      <c r="B278" s="112"/>
    </row>
    <row r="279" ht="14.25" customHeight="1">
      <c r="B279" s="112"/>
    </row>
    <row r="280" ht="14.25" customHeight="1">
      <c r="B280" s="112"/>
    </row>
    <row r="281" ht="14.25" customHeight="1">
      <c r="B281" s="112"/>
    </row>
    <row r="282" ht="14.25" customHeight="1">
      <c r="B282" s="112"/>
    </row>
    <row r="283" ht="14.25" customHeight="1">
      <c r="B283" s="112"/>
    </row>
    <row r="284" ht="14.25" customHeight="1">
      <c r="B284" s="112"/>
    </row>
    <row r="285" ht="14.25" customHeight="1">
      <c r="B285" s="112"/>
    </row>
    <row r="286" ht="14.25" customHeight="1">
      <c r="B286" s="112"/>
    </row>
    <row r="287" ht="14.25" customHeight="1">
      <c r="B287" s="112"/>
    </row>
    <row r="288" ht="14.25" customHeight="1">
      <c r="B288" s="112"/>
    </row>
    <row r="289" ht="14.25" customHeight="1">
      <c r="B289" s="112"/>
    </row>
    <row r="290" ht="14.25" customHeight="1">
      <c r="B290" s="112"/>
    </row>
    <row r="291" ht="14.25" customHeight="1">
      <c r="B291" s="112"/>
    </row>
    <row r="292" ht="14.25" customHeight="1">
      <c r="B292" s="112"/>
    </row>
    <row r="293" ht="14.25" customHeight="1">
      <c r="B293" s="112"/>
    </row>
    <row r="294" ht="14.25" customHeight="1">
      <c r="B294" s="112"/>
    </row>
    <row r="295" ht="14.25" customHeight="1">
      <c r="B295" s="112"/>
    </row>
    <row r="296" ht="14.25" customHeight="1">
      <c r="B296" s="112"/>
    </row>
    <row r="297" ht="14.25" customHeight="1">
      <c r="B297" s="112"/>
    </row>
    <row r="298" ht="14.25" customHeight="1">
      <c r="B298" s="112"/>
    </row>
    <row r="299" ht="14.25" customHeight="1">
      <c r="B299" s="112"/>
    </row>
    <row r="300" ht="14.25" customHeight="1">
      <c r="B300" s="112"/>
    </row>
    <row r="301" ht="14.25" customHeight="1">
      <c r="B301" s="112"/>
    </row>
    <row r="302" ht="14.25" customHeight="1">
      <c r="B302" s="112"/>
    </row>
    <row r="303" ht="14.25" customHeight="1">
      <c r="B303" s="112"/>
    </row>
    <row r="304" ht="14.25" customHeight="1">
      <c r="B304" s="112"/>
    </row>
    <row r="305" ht="14.25" customHeight="1">
      <c r="B305" s="112"/>
    </row>
    <row r="306" ht="14.25" customHeight="1">
      <c r="B306" s="112"/>
    </row>
    <row r="307" ht="14.25" customHeight="1">
      <c r="B307" s="112"/>
    </row>
    <row r="308" ht="14.25" customHeight="1">
      <c r="B308" s="112"/>
    </row>
    <row r="309" ht="14.25" customHeight="1">
      <c r="B309" s="112"/>
    </row>
    <row r="310" ht="14.25" customHeight="1">
      <c r="B310" s="112"/>
    </row>
    <row r="311" ht="14.25" customHeight="1">
      <c r="B311" s="112"/>
    </row>
    <row r="312" ht="14.25" customHeight="1">
      <c r="B312" s="112"/>
    </row>
    <row r="313" ht="14.25" customHeight="1">
      <c r="B313" s="112"/>
    </row>
    <row r="314" ht="14.25" customHeight="1">
      <c r="B314" s="112"/>
    </row>
    <row r="315" ht="14.25" customHeight="1">
      <c r="B315" s="112"/>
    </row>
    <row r="316" ht="14.25" customHeight="1">
      <c r="B316" s="112"/>
    </row>
    <row r="317" ht="14.25" customHeight="1">
      <c r="B317" s="112"/>
    </row>
    <row r="318" ht="14.25" customHeight="1">
      <c r="B318" s="112"/>
    </row>
    <row r="319" ht="14.25" customHeight="1">
      <c r="B319" s="112"/>
    </row>
    <row r="320" ht="14.25" customHeight="1">
      <c r="B320" s="112"/>
    </row>
    <row r="321" ht="14.25" customHeight="1">
      <c r="B321" s="112"/>
    </row>
    <row r="322" ht="14.25" customHeight="1">
      <c r="B322" s="112"/>
    </row>
    <row r="323" ht="14.25" customHeight="1">
      <c r="B323" s="112"/>
    </row>
    <row r="324" ht="14.25" customHeight="1">
      <c r="B324" s="112"/>
    </row>
    <row r="325" ht="14.25" customHeight="1">
      <c r="B325" s="112"/>
    </row>
    <row r="326" ht="14.25" customHeight="1">
      <c r="B326" s="112"/>
    </row>
    <row r="327" ht="14.25" customHeight="1">
      <c r="B327" s="112"/>
    </row>
    <row r="328" ht="14.25" customHeight="1">
      <c r="B328" s="112"/>
    </row>
    <row r="329" ht="14.25" customHeight="1">
      <c r="B329" s="112"/>
    </row>
    <row r="330" ht="14.25" customHeight="1">
      <c r="B330" s="112"/>
    </row>
    <row r="331" ht="14.25" customHeight="1">
      <c r="B331" s="112"/>
    </row>
    <row r="332" ht="14.25" customHeight="1">
      <c r="B332" s="112"/>
    </row>
    <row r="333" ht="14.25" customHeight="1">
      <c r="B333" s="112"/>
    </row>
    <row r="334" ht="14.25" customHeight="1">
      <c r="B334" s="112"/>
    </row>
    <row r="335" ht="14.25" customHeight="1">
      <c r="B335" s="112"/>
    </row>
    <row r="336" ht="14.25" customHeight="1">
      <c r="B336" s="112"/>
    </row>
    <row r="337" ht="14.25" customHeight="1">
      <c r="B337" s="112"/>
    </row>
    <row r="338" ht="14.25" customHeight="1">
      <c r="B338" s="112"/>
    </row>
    <row r="339" ht="14.25" customHeight="1">
      <c r="B339" s="112"/>
    </row>
    <row r="340" ht="14.25" customHeight="1">
      <c r="B340" s="112"/>
    </row>
    <row r="341" ht="14.25" customHeight="1">
      <c r="B341" s="112"/>
    </row>
    <row r="342" ht="14.25" customHeight="1">
      <c r="B342" s="112"/>
    </row>
    <row r="343" ht="14.25" customHeight="1">
      <c r="B343" s="112"/>
    </row>
    <row r="344" ht="14.25" customHeight="1">
      <c r="B344" s="112"/>
    </row>
    <row r="345" ht="14.25" customHeight="1">
      <c r="B345" s="112"/>
    </row>
    <row r="346" ht="14.25" customHeight="1">
      <c r="B346" s="112"/>
    </row>
    <row r="347" ht="14.25" customHeight="1">
      <c r="B347" s="112"/>
    </row>
    <row r="348" ht="14.25" customHeight="1">
      <c r="B348" s="112"/>
    </row>
    <row r="349" ht="14.25" customHeight="1">
      <c r="B349" s="112"/>
    </row>
    <row r="350" ht="14.25" customHeight="1">
      <c r="B350" s="112"/>
    </row>
    <row r="351" ht="14.25" customHeight="1">
      <c r="B351" s="112"/>
    </row>
    <row r="352" ht="14.25" customHeight="1">
      <c r="B352" s="112"/>
    </row>
    <row r="353" ht="14.25" customHeight="1">
      <c r="B353" s="112"/>
    </row>
    <row r="354" ht="14.25" customHeight="1">
      <c r="B354" s="112"/>
    </row>
    <row r="355" ht="14.25" customHeight="1">
      <c r="B355" s="112"/>
    </row>
    <row r="356" ht="14.25" customHeight="1">
      <c r="B356" s="112"/>
    </row>
    <row r="357" ht="14.25" customHeight="1">
      <c r="B357" s="112"/>
    </row>
    <row r="358" ht="14.25" customHeight="1">
      <c r="B358" s="112"/>
    </row>
    <row r="359" ht="14.25" customHeight="1">
      <c r="B359" s="112"/>
    </row>
    <row r="360" ht="14.25" customHeight="1">
      <c r="B360" s="112"/>
    </row>
    <row r="361" ht="14.25" customHeight="1">
      <c r="B361" s="112"/>
    </row>
    <row r="362" ht="14.25" customHeight="1">
      <c r="B362" s="112"/>
    </row>
    <row r="363" ht="14.25" customHeight="1">
      <c r="B363" s="112"/>
    </row>
    <row r="364" ht="14.25" customHeight="1">
      <c r="B364" s="112"/>
    </row>
    <row r="365" ht="14.25" customHeight="1">
      <c r="B365" s="112"/>
    </row>
    <row r="366" ht="14.25" customHeight="1">
      <c r="B366" s="112"/>
    </row>
    <row r="367" ht="14.25" customHeight="1">
      <c r="B367" s="112"/>
    </row>
    <row r="368" ht="14.25" customHeight="1">
      <c r="B368" s="112"/>
    </row>
    <row r="369" ht="14.25" customHeight="1">
      <c r="B369" s="112"/>
    </row>
    <row r="370" ht="14.25" customHeight="1">
      <c r="B370" s="112"/>
    </row>
    <row r="371" ht="14.25" customHeight="1">
      <c r="B371" s="112"/>
    </row>
    <row r="372" ht="14.25" customHeight="1">
      <c r="B372" s="112"/>
    </row>
    <row r="373" ht="14.25" customHeight="1">
      <c r="B373" s="112"/>
    </row>
    <row r="374" ht="14.25" customHeight="1">
      <c r="B374" s="112"/>
    </row>
    <row r="375" ht="14.25" customHeight="1">
      <c r="B375" s="112"/>
    </row>
    <row r="376" ht="14.25" customHeight="1">
      <c r="B376" s="112"/>
    </row>
    <row r="377" ht="14.25" customHeight="1">
      <c r="B377" s="112"/>
    </row>
    <row r="378" ht="14.25" customHeight="1">
      <c r="B378" s="112"/>
    </row>
    <row r="379" ht="14.25" customHeight="1">
      <c r="B379" s="112"/>
    </row>
    <row r="380" ht="14.25" customHeight="1">
      <c r="B380" s="112"/>
    </row>
    <row r="381" ht="14.25" customHeight="1">
      <c r="B381" s="112"/>
    </row>
    <row r="382" ht="14.25" customHeight="1">
      <c r="B382" s="112"/>
    </row>
    <row r="383" ht="14.25" customHeight="1">
      <c r="B383" s="112"/>
    </row>
    <row r="384" ht="14.25" customHeight="1">
      <c r="B384" s="112"/>
    </row>
    <row r="385" ht="14.25" customHeight="1">
      <c r="B385" s="112"/>
    </row>
    <row r="386" ht="14.25" customHeight="1">
      <c r="B386" s="112"/>
    </row>
    <row r="387" ht="14.25" customHeight="1">
      <c r="B387" s="112"/>
    </row>
    <row r="388" ht="14.25" customHeight="1">
      <c r="B388" s="112"/>
    </row>
    <row r="389" ht="14.25" customHeight="1">
      <c r="B389" s="112"/>
    </row>
    <row r="390" ht="14.25" customHeight="1">
      <c r="B390" s="112"/>
    </row>
    <row r="391" ht="14.25" customHeight="1">
      <c r="B391" s="112"/>
    </row>
    <row r="392" ht="14.25" customHeight="1">
      <c r="B392" s="112"/>
    </row>
    <row r="393" ht="14.25" customHeight="1">
      <c r="B393" s="112"/>
    </row>
    <row r="394" ht="14.25" customHeight="1">
      <c r="B394" s="112"/>
    </row>
    <row r="395" ht="14.25" customHeight="1">
      <c r="B395" s="112"/>
    </row>
    <row r="396" ht="14.25" customHeight="1">
      <c r="B396" s="112"/>
    </row>
    <row r="397" ht="14.25" customHeight="1">
      <c r="B397" s="112"/>
    </row>
    <row r="398" ht="14.25" customHeight="1">
      <c r="B398" s="112"/>
    </row>
    <row r="399" ht="14.25" customHeight="1">
      <c r="B399" s="112"/>
    </row>
    <row r="400" ht="14.25" customHeight="1">
      <c r="B400" s="112"/>
    </row>
    <row r="401" ht="14.25" customHeight="1">
      <c r="B401" s="112"/>
    </row>
    <row r="402" ht="14.25" customHeight="1">
      <c r="B402" s="112"/>
    </row>
    <row r="403" ht="14.25" customHeight="1">
      <c r="B403" s="112"/>
    </row>
    <row r="404" ht="14.25" customHeight="1">
      <c r="B404" s="112"/>
    </row>
    <row r="405" ht="14.25" customHeight="1">
      <c r="B405" s="112"/>
    </row>
    <row r="406" ht="14.25" customHeight="1">
      <c r="B406" s="112"/>
    </row>
    <row r="407" ht="14.25" customHeight="1">
      <c r="B407" s="112"/>
    </row>
    <row r="408" ht="14.25" customHeight="1">
      <c r="B408" s="112"/>
    </row>
    <row r="409" ht="14.25" customHeight="1">
      <c r="B409" s="112"/>
    </row>
    <row r="410" ht="14.25" customHeight="1">
      <c r="B410" s="112"/>
    </row>
    <row r="411" ht="14.25" customHeight="1">
      <c r="B411" s="112"/>
    </row>
    <row r="412" ht="14.25" customHeight="1">
      <c r="B412" s="112"/>
    </row>
    <row r="413" ht="14.25" customHeight="1">
      <c r="B413" s="112"/>
    </row>
    <row r="414" ht="14.25" customHeight="1">
      <c r="B414" s="112"/>
    </row>
    <row r="415" ht="14.25" customHeight="1">
      <c r="B415" s="112"/>
    </row>
    <row r="416" ht="14.25" customHeight="1">
      <c r="B416" s="112"/>
    </row>
    <row r="417" ht="14.25" customHeight="1">
      <c r="B417" s="112"/>
    </row>
    <row r="418" ht="14.25" customHeight="1">
      <c r="B418" s="112"/>
    </row>
    <row r="419" ht="14.25" customHeight="1">
      <c r="B419" s="112"/>
    </row>
    <row r="420" ht="14.25" customHeight="1">
      <c r="B420" s="112"/>
    </row>
    <row r="421" ht="14.25" customHeight="1">
      <c r="B421" s="112"/>
    </row>
    <row r="422" ht="14.25" customHeight="1">
      <c r="B422" s="112"/>
    </row>
    <row r="423" ht="14.25" customHeight="1">
      <c r="B423" s="112"/>
    </row>
    <row r="424" ht="14.25" customHeight="1">
      <c r="B424" s="112"/>
    </row>
    <row r="425" ht="14.25" customHeight="1">
      <c r="B425" s="112"/>
    </row>
    <row r="426" ht="14.25" customHeight="1">
      <c r="B426" s="112"/>
    </row>
    <row r="427" ht="14.25" customHeight="1">
      <c r="B427" s="112"/>
    </row>
    <row r="428" ht="14.25" customHeight="1">
      <c r="B428" s="112"/>
    </row>
    <row r="429" ht="14.25" customHeight="1">
      <c r="B429" s="112"/>
    </row>
    <row r="430" ht="14.25" customHeight="1">
      <c r="B430" s="112"/>
    </row>
    <row r="431" ht="14.25" customHeight="1">
      <c r="B431" s="112"/>
    </row>
    <row r="432" ht="14.25" customHeight="1">
      <c r="B432" s="112"/>
    </row>
    <row r="433" ht="14.25" customHeight="1">
      <c r="B433" s="112"/>
    </row>
    <row r="434" ht="14.25" customHeight="1">
      <c r="B434" s="112"/>
    </row>
    <row r="435" ht="14.25" customHeight="1">
      <c r="B435" s="112"/>
    </row>
    <row r="436" ht="14.25" customHeight="1">
      <c r="B436" s="112"/>
    </row>
    <row r="437" ht="14.25" customHeight="1">
      <c r="B437" s="112"/>
    </row>
    <row r="438" ht="14.25" customHeight="1">
      <c r="B438" s="112"/>
    </row>
    <row r="439" ht="14.25" customHeight="1">
      <c r="B439" s="112"/>
    </row>
    <row r="440" ht="14.25" customHeight="1">
      <c r="B440" s="112"/>
    </row>
    <row r="441" ht="14.25" customHeight="1">
      <c r="B441" s="112"/>
    </row>
    <row r="442" ht="14.25" customHeight="1">
      <c r="B442" s="112"/>
    </row>
    <row r="443" ht="14.25" customHeight="1">
      <c r="B443" s="112"/>
    </row>
    <row r="444" ht="14.25" customHeight="1">
      <c r="B444" s="112"/>
    </row>
    <row r="445" ht="14.25" customHeight="1">
      <c r="B445" s="112"/>
    </row>
    <row r="446" ht="14.25" customHeight="1">
      <c r="B446" s="112"/>
    </row>
    <row r="447" ht="14.25" customHeight="1">
      <c r="B447" s="112"/>
    </row>
    <row r="448" ht="14.25" customHeight="1">
      <c r="B448" s="112"/>
    </row>
    <row r="449" ht="14.25" customHeight="1">
      <c r="B449" s="112"/>
    </row>
    <row r="450" ht="14.25" customHeight="1">
      <c r="B450" s="112"/>
    </row>
    <row r="451" ht="14.25" customHeight="1">
      <c r="B451" s="112"/>
    </row>
    <row r="452" ht="14.25" customHeight="1">
      <c r="B452" s="112"/>
    </row>
    <row r="453" ht="14.25" customHeight="1">
      <c r="B453" s="112"/>
    </row>
    <row r="454" ht="14.25" customHeight="1">
      <c r="B454" s="112"/>
    </row>
    <row r="455" ht="14.25" customHeight="1">
      <c r="B455" s="112"/>
    </row>
    <row r="456" ht="14.25" customHeight="1">
      <c r="B456" s="112"/>
    </row>
    <row r="457" ht="14.25" customHeight="1">
      <c r="B457" s="112"/>
    </row>
    <row r="458" ht="14.25" customHeight="1">
      <c r="B458" s="112"/>
    </row>
    <row r="459" ht="14.25" customHeight="1">
      <c r="B459" s="112"/>
    </row>
    <row r="460" ht="14.25" customHeight="1">
      <c r="B460" s="112"/>
    </row>
    <row r="461" ht="14.25" customHeight="1">
      <c r="B461" s="112"/>
    </row>
    <row r="462" ht="14.25" customHeight="1">
      <c r="B462" s="112"/>
    </row>
    <row r="463" ht="14.25" customHeight="1">
      <c r="B463" s="112"/>
    </row>
    <row r="464" ht="14.25" customHeight="1">
      <c r="B464" s="112"/>
    </row>
    <row r="465" ht="14.25" customHeight="1">
      <c r="B465" s="112"/>
    </row>
    <row r="466" ht="14.25" customHeight="1">
      <c r="B466" s="112"/>
    </row>
    <row r="467" ht="14.25" customHeight="1">
      <c r="B467" s="112"/>
    </row>
    <row r="468" ht="14.25" customHeight="1">
      <c r="B468" s="112"/>
    </row>
    <row r="469" ht="14.25" customHeight="1">
      <c r="B469" s="112"/>
    </row>
    <row r="470" ht="14.25" customHeight="1">
      <c r="B470" s="112"/>
    </row>
    <row r="471" ht="14.25" customHeight="1">
      <c r="B471" s="112"/>
    </row>
    <row r="472" ht="14.25" customHeight="1">
      <c r="B472" s="112"/>
    </row>
    <row r="473" ht="14.25" customHeight="1">
      <c r="B473" s="112"/>
    </row>
    <row r="474" ht="14.25" customHeight="1">
      <c r="B474" s="112"/>
    </row>
    <row r="475" ht="14.25" customHeight="1">
      <c r="B475" s="112"/>
    </row>
    <row r="476" ht="14.25" customHeight="1">
      <c r="B476" s="112"/>
    </row>
    <row r="477" ht="14.25" customHeight="1">
      <c r="B477" s="112"/>
    </row>
    <row r="478" ht="14.25" customHeight="1">
      <c r="B478" s="112"/>
    </row>
    <row r="479" ht="14.25" customHeight="1">
      <c r="B479" s="112"/>
    </row>
    <row r="480" ht="14.25" customHeight="1">
      <c r="B480" s="112"/>
    </row>
    <row r="481" ht="14.25" customHeight="1">
      <c r="B481" s="112"/>
    </row>
    <row r="482" ht="14.25" customHeight="1">
      <c r="B482" s="112"/>
    </row>
    <row r="483" ht="14.25" customHeight="1">
      <c r="B483" s="112"/>
    </row>
    <row r="484" ht="14.25" customHeight="1">
      <c r="B484" s="112"/>
    </row>
    <row r="485" ht="14.25" customHeight="1">
      <c r="B485" s="112"/>
    </row>
    <row r="486" ht="14.25" customHeight="1">
      <c r="B486" s="112"/>
    </row>
    <row r="487" ht="14.25" customHeight="1">
      <c r="B487" s="112"/>
    </row>
    <row r="488" ht="14.25" customHeight="1">
      <c r="B488" s="112"/>
    </row>
    <row r="489" ht="14.25" customHeight="1">
      <c r="B489" s="112"/>
    </row>
    <row r="490" ht="14.25" customHeight="1">
      <c r="B490" s="112"/>
    </row>
    <row r="491" ht="14.25" customHeight="1">
      <c r="B491" s="112"/>
    </row>
    <row r="492" ht="14.25" customHeight="1">
      <c r="B492" s="112"/>
    </row>
    <row r="493" ht="14.25" customHeight="1">
      <c r="B493" s="112"/>
    </row>
    <row r="494" ht="14.25" customHeight="1">
      <c r="B494" s="112"/>
    </row>
    <row r="495" ht="14.25" customHeight="1">
      <c r="B495" s="112"/>
    </row>
    <row r="496" ht="14.25" customHeight="1">
      <c r="B496" s="112"/>
    </row>
    <row r="497" ht="14.25" customHeight="1">
      <c r="B497" s="112"/>
    </row>
    <row r="498" ht="14.25" customHeight="1">
      <c r="B498" s="112"/>
    </row>
    <row r="499" ht="14.25" customHeight="1">
      <c r="B499" s="112"/>
    </row>
    <row r="500" ht="14.25" customHeight="1">
      <c r="B500" s="112"/>
    </row>
    <row r="501" ht="14.25" customHeight="1">
      <c r="B501" s="112"/>
    </row>
    <row r="502" ht="14.25" customHeight="1">
      <c r="B502" s="112"/>
    </row>
    <row r="503" ht="14.25" customHeight="1">
      <c r="B503" s="112"/>
    </row>
    <row r="504" ht="14.25" customHeight="1">
      <c r="B504" s="112"/>
    </row>
    <row r="505" ht="14.25" customHeight="1">
      <c r="B505" s="112"/>
    </row>
    <row r="506" ht="14.25" customHeight="1">
      <c r="B506" s="112"/>
    </row>
    <row r="507" ht="14.25" customHeight="1">
      <c r="B507" s="112"/>
    </row>
    <row r="508" ht="14.25" customHeight="1">
      <c r="B508" s="112"/>
    </row>
    <row r="509" ht="14.25" customHeight="1">
      <c r="B509" s="112"/>
    </row>
    <row r="510" ht="14.25" customHeight="1">
      <c r="B510" s="112"/>
    </row>
    <row r="511" ht="14.25" customHeight="1">
      <c r="B511" s="112"/>
    </row>
    <row r="512" ht="14.25" customHeight="1">
      <c r="B512" s="112"/>
    </row>
    <row r="513" ht="14.25" customHeight="1">
      <c r="B513" s="112"/>
    </row>
    <row r="514" ht="14.25" customHeight="1">
      <c r="B514" s="112"/>
    </row>
    <row r="515" ht="14.25" customHeight="1">
      <c r="B515" s="112"/>
    </row>
    <row r="516" ht="14.25" customHeight="1">
      <c r="B516" s="112"/>
    </row>
    <row r="517" ht="14.25" customHeight="1">
      <c r="B517" s="112"/>
    </row>
    <row r="518" ht="14.25" customHeight="1">
      <c r="B518" s="112"/>
    </row>
    <row r="519" ht="14.25" customHeight="1">
      <c r="B519" s="112"/>
    </row>
    <row r="520" ht="14.25" customHeight="1">
      <c r="B520" s="112"/>
    </row>
    <row r="521" ht="14.25" customHeight="1">
      <c r="B521" s="112"/>
    </row>
    <row r="522" ht="14.25" customHeight="1">
      <c r="B522" s="112"/>
    </row>
    <row r="523" ht="14.25" customHeight="1">
      <c r="B523" s="112"/>
    </row>
    <row r="524" ht="14.25" customHeight="1">
      <c r="B524" s="112"/>
    </row>
    <row r="525" ht="14.25" customHeight="1">
      <c r="B525" s="112"/>
    </row>
    <row r="526" ht="14.25" customHeight="1">
      <c r="B526" s="112"/>
    </row>
    <row r="527" ht="14.25" customHeight="1">
      <c r="B527" s="112"/>
    </row>
    <row r="528" ht="14.25" customHeight="1">
      <c r="B528" s="112"/>
    </row>
    <row r="529" ht="14.25" customHeight="1">
      <c r="B529" s="112"/>
    </row>
    <row r="530" ht="14.25" customHeight="1">
      <c r="B530" s="112"/>
    </row>
    <row r="531" ht="14.25" customHeight="1">
      <c r="B531" s="112"/>
    </row>
    <row r="532" ht="14.25" customHeight="1">
      <c r="B532" s="112"/>
    </row>
    <row r="533" ht="14.25" customHeight="1">
      <c r="B533" s="112"/>
    </row>
    <row r="534" ht="14.25" customHeight="1">
      <c r="B534" s="112"/>
    </row>
    <row r="535" ht="14.25" customHeight="1">
      <c r="B535" s="112"/>
    </row>
    <row r="536" ht="14.25" customHeight="1">
      <c r="B536" s="112"/>
    </row>
    <row r="537" ht="14.25" customHeight="1">
      <c r="B537" s="112"/>
    </row>
    <row r="538" ht="14.25" customHeight="1">
      <c r="B538" s="112"/>
    </row>
    <row r="539" ht="14.25" customHeight="1">
      <c r="B539" s="112"/>
    </row>
    <row r="540" ht="14.25" customHeight="1">
      <c r="B540" s="112"/>
    </row>
    <row r="541" ht="14.25" customHeight="1">
      <c r="B541" s="112"/>
    </row>
    <row r="542" ht="14.25" customHeight="1">
      <c r="B542" s="112"/>
    </row>
    <row r="543" ht="14.25" customHeight="1">
      <c r="B543" s="112"/>
    </row>
    <row r="544" ht="14.25" customHeight="1">
      <c r="B544" s="112"/>
    </row>
    <row r="545" ht="14.25" customHeight="1">
      <c r="B545" s="112"/>
    </row>
    <row r="546" ht="14.25" customHeight="1">
      <c r="B546" s="112"/>
    </row>
    <row r="547" ht="14.25" customHeight="1">
      <c r="B547" s="112"/>
    </row>
    <row r="548" ht="14.25" customHeight="1">
      <c r="B548" s="112"/>
    </row>
    <row r="549" ht="14.25" customHeight="1">
      <c r="B549" s="112"/>
    </row>
    <row r="550" ht="14.25" customHeight="1">
      <c r="B550" s="112"/>
    </row>
    <row r="551" ht="14.25" customHeight="1">
      <c r="B551" s="112"/>
    </row>
    <row r="552" ht="14.25" customHeight="1">
      <c r="B552" s="112"/>
    </row>
    <row r="553" ht="14.25" customHeight="1">
      <c r="B553" s="112"/>
    </row>
    <row r="554" ht="14.25" customHeight="1">
      <c r="B554" s="112"/>
    </row>
    <row r="555" ht="14.25" customHeight="1">
      <c r="B555" s="112"/>
    </row>
    <row r="556" ht="14.25" customHeight="1">
      <c r="B556" s="112"/>
    </row>
    <row r="557" ht="14.25" customHeight="1">
      <c r="B557" s="112"/>
    </row>
    <row r="558" ht="14.25" customHeight="1">
      <c r="B558" s="112"/>
    </row>
    <row r="559" ht="14.25" customHeight="1">
      <c r="B559" s="112"/>
    </row>
    <row r="560" ht="14.25" customHeight="1">
      <c r="B560" s="112"/>
    </row>
    <row r="561" ht="14.25" customHeight="1">
      <c r="B561" s="112"/>
    </row>
    <row r="562" ht="14.25" customHeight="1">
      <c r="B562" s="112"/>
    </row>
    <row r="563" ht="14.25" customHeight="1">
      <c r="B563" s="112"/>
    </row>
    <row r="564" ht="14.25" customHeight="1">
      <c r="B564" s="112"/>
    </row>
    <row r="565" ht="14.25" customHeight="1">
      <c r="B565" s="112"/>
    </row>
    <row r="566" ht="14.25" customHeight="1">
      <c r="B566" s="112"/>
    </row>
    <row r="567" ht="14.25" customHeight="1">
      <c r="B567" s="112"/>
    </row>
    <row r="568" ht="14.25" customHeight="1">
      <c r="B568" s="112"/>
    </row>
    <row r="569" ht="14.25" customHeight="1">
      <c r="B569" s="112"/>
    </row>
    <row r="570" ht="14.25" customHeight="1">
      <c r="B570" s="112"/>
    </row>
    <row r="571" ht="14.25" customHeight="1">
      <c r="B571" s="112"/>
    </row>
    <row r="572" ht="14.25" customHeight="1">
      <c r="B572" s="112"/>
    </row>
    <row r="573" ht="14.25" customHeight="1">
      <c r="B573" s="112"/>
    </row>
    <row r="574" ht="14.25" customHeight="1">
      <c r="B574" s="112"/>
    </row>
    <row r="575" ht="14.25" customHeight="1">
      <c r="B575" s="112"/>
    </row>
    <row r="576" ht="14.25" customHeight="1">
      <c r="B576" s="112"/>
    </row>
    <row r="577" ht="14.25" customHeight="1">
      <c r="B577" s="112"/>
    </row>
    <row r="578" ht="14.25" customHeight="1">
      <c r="B578" s="112"/>
    </row>
    <row r="579" ht="14.25" customHeight="1">
      <c r="B579" s="112"/>
    </row>
    <row r="580" ht="14.25" customHeight="1">
      <c r="B580" s="112"/>
    </row>
    <row r="581" ht="14.25" customHeight="1">
      <c r="B581" s="112"/>
    </row>
    <row r="582" ht="14.25" customHeight="1">
      <c r="B582" s="112"/>
    </row>
    <row r="583" ht="14.25" customHeight="1">
      <c r="B583" s="112"/>
    </row>
    <row r="584" ht="14.25" customHeight="1">
      <c r="B584" s="112"/>
    </row>
    <row r="585" ht="14.25" customHeight="1">
      <c r="B585" s="112"/>
    </row>
    <row r="586" ht="14.25" customHeight="1">
      <c r="B586" s="112"/>
    </row>
    <row r="587" ht="14.25" customHeight="1">
      <c r="B587" s="112"/>
    </row>
    <row r="588" ht="14.25" customHeight="1">
      <c r="B588" s="112"/>
    </row>
    <row r="589" ht="14.25" customHeight="1">
      <c r="B589" s="112"/>
    </row>
    <row r="590" ht="14.25" customHeight="1">
      <c r="B590" s="112"/>
    </row>
    <row r="591" ht="14.25" customHeight="1">
      <c r="B591" s="112"/>
    </row>
    <row r="592" ht="14.25" customHeight="1">
      <c r="B592" s="112"/>
    </row>
    <row r="593" ht="14.25" customHeight="1">
      <c r="B593" s="112"/>
    </row>
    <row r="594" ht="14.25" customHeight="1">
      <c r="B594" s="112"/>
    </row>
    <row r="595" ht="14.25" customHeight="1">
      <c r="B595" s="112"/>
    </row>
    <row r="596" ht="14.25" customHeight="1">
      <c r="B596" s="112"/>
    </row>
    <row r="597" ht="14.25" customHeight="1">
      <c r="B597" s="112"/>
    </row>
    <row r="598" ht="14.25" customHeight="1">
      <c r="B598" s="112"/>
    </row>
    <row r="599" ht="14.25" customHeight="1">
      <c r="B599" s="112"/>
    </row>
    <row r="600" ht="14.25" customHeight="1">
      <c r="B600" s="112"/>
    </row>
    <row r="601" ht="14.25" customHeight="1">
      <c r="B601" s="112"/>
    </row>
    <row r="602" ht="14.25" customHeight="1">
      <c r="B602" s="112"/>
    </row>
    <row r="603" ht="14.25" customHeight="1">
      <c r="B603" s="112"/>
    </row>
    <row r="604" ht="14.25" customHeight="1">
      <c r="B604" s="112"/>
    </row>
    <row r="605" ht="14.25" customHeight="1">
      <c r="B605" s="112"/>
    </row>
    <row r="606" ht="14.25" customHeight="1">
      <c r="B606" s="112"/>
    </row>
    <row r="607" ht="14.25" customHeight="1">
      <c r="B607" s="112"/>
    </row>
    <row r="608" ht="14.25" customHeight="1">
      <c r="B608" s="112"/>
    </row>
    <row r="609" ht="14.25" customHeight="1">
      <c r="B609" s="112"/>
    </row>
    <row r="610" ht="14.25" customHeight="1">
      <c r="B610" s="112"/>
    </row>
    <row r="611" ht="14.25" customHeight="1">
      <c r="B611" s="112"/>
    </row>
    <row r="612" ht="14.25" customHeight="1">
      <c r="B612" s="112"/>
    </row>
    <row r="613" ht="14.25" customHeight="1">
      <c r="B613" s="112"/>
    </row>
    <row r="614" ht="14.25" customHeight="1">
      <c r="B614" s="112"/>
    </row>
    <row r="615" ht="14.25" customHeight="1">
      <c r="B615" s="112"/>
    </row>
    <row r="616" ht="14.25" customHeight="1">
      <c r="B616" s="112"/>
    </row>
    <row r="617" ht="14.25" customHeight="1">
      <c r="B617" s="112"/>
    </row>
    <row r="618" ht="14.25" customHeight="1">
      <c r="B618" s="112"/>
    </row>
    <row r="619" ht="14.25" customHeight="1">
      <c r="B619" s="112"/>
    </row>
    <row r="620" ht="14.25" customHeight="1">
      <c r="B620" s="112"/>
    </row>
    <row r="621" ht="14.25" customHeight="1">
      <c r="B621" s="112"/>
    </row>
    <row r="622" ht="14.25" customHeight="1">
      <c r="B622" s="112"/>
    </row>
    <row r="623" ht="14.25" customHeight="1">
      <c r="B623" s="112"/>
    </row>
    <row r="624" ht="14.25" customHeight="1">
      <c r="B624" s="112"/>
    </row>
    <row r="625" ht="14.25" customHeight="1">
      <c r="B625" s="112"/>
    </row>
    <row r="626" ht="14.25" customHeight="1">
      <c r="B626" s="112"/>
    </row>
    <row r="627" ht="14.25" customHeight="1">
      <c r="B627" s="112"/>
    </row>
    <row r="628" ht="14.25" customHeight="1">
      <c r="B628" s="112"/>
    </row>
    <row r="629" ht="14.25" customHeight="1">
      <c r="B629" s="112"/>
    </row>
    <row r="630" ht="14.25" customHeight="1">
      <c r="B630" s="112"/>
    </row>
    <row r="631" ht="14.25" customHeight="1">
      <c r="B631" s="112"/>
    </row>
    <row r="632" ht="14.25" customHeight="1">
      <c r="B632" s="112"/>
    </row>
    <row r="633" ht="14.25" customHeight="1">
      <c r="B633" s="112"/>
    </row>
    <row r="634" ht="14.25" customHeight="1">
      <c r="B634" s="112"/>
    </row>
    <row r="635" ht="14.25" customHeight="1">
      <c r="B635" s="112"/>
    </row>
    <row r="636" ht="14.25" customHeight="1">
      <c r="B636" s="112"/>
    </row>
    <row r="637" ht="14.25" customHeight="1">
      <c r="B637" s="112"/>
    </row>
    <row r="638" ht="14.25" customHeight="1">
      <c r="B638" s="112"/>
    </row>
    <row r="639" ht="14.25" customHeight="1">
      <c r="B639" s="112"/>
    </row>
    <row r="640" ht="14.25" customHeight="1">
      <c r="B640" s="112"/>
    </row>
    <row r="641" ht="14.25" customHeight="1">
      <c r="B641" s="112"/>
    </row>
    <row r="642" ht="14.25" customHeight="1">
      <c r="B642" s="112"/>
    </row>
    <row r="643" ht="14.25" customHeight="1">
      <c r="B643" s="112"/>
    </row>
    <row r="644" ht="14.25" customHeight="1">
      <c r="B644" s="112"/>
    </row>
    <row r="645" ht="14.25" customHeight="1">
      <c r="B645" s="112"/>
    </row>
    <row r="646" ht="14.25" customHeight="1">
      <c r="B646" s="112"/>
    </row>
    <row r="647" ht="14.25" customHeight="1">
      <c r="B647" s="112"/>
    </row>
    <row r="648" ht="14.25" customHeight="1">
      <c r="B648" s="112"/>
    </row>
    <row r="649" ht="14.25" customHeight="1">
      <c r="B649" s="112"/>
    </row>
    <row r="650" ht="14.25" customHeight="1">
      <c r="B650" s="112"/>
    </row>
    <row r="651" ht="14.25" customHeight="1">
      <c r="B651" s="112"/>
    </row>
    <row r="652" ht="14.25" customHeight="1">
      <c r="B652" s="112"/>
    </row>
    <row r="653" ht="14.25" customHeight="1">
      <c r="B653" s="112"/>
    </row>
    <row r="654" ht="14.25" customHeight="1">
      <c r="B654" s="112"/>
    </row>
    <row r="655" ht="14.25" customHeight="1">
      <c r="B655" s="112"/>
    </row>
    <row r="656" ht="14.25" customHeight="1">
      <c r="B656" s="112"/>
    </row>
    <row r="657" ht="14.25" customHeight="1">
      <c r="B657" s="112"/>
    </row>
    <row r="658" ht="14.25" customHeight="1">
      <c r="B658" s="112"/>
    </row>
    <row r="659" ht="14.25" customHeight="1">
      <c r="B659" s="112"/>
    </row>
    <row r="660" ht="14.25" customHeight="1">
      <c r="B660" s="112"/>
    </row>
    <row r="661" ht="14.25" customHeight="1">
      <c r="B661" s="112"/>
    </row>
    <row r="662" ht="14.25" customHeight="1">
      <c r="B662" s="112"/>
    </row>
    <row r="663" ht="14.25" customHeight="1">
      <c r="B663" s="112"/>
    </row>
    <row r="664" ht="14.25" customHeight="1">
      <c r="B664" s="112"/>
    </row>
    <row r="665" ht="14.25" customHeight="1">
      <c r="B665" s="112"/>
    </row>
    <row r="666" ht="14.25" customHeight="1">
      <c r="B666" s="112"/>
    </row>
    <row r="667" ht="14.25" customHeight="1">
      <c r="B667" s="112"/>
    </row>
    <row r="668" ht="14.25" customHeight="1">
      <c r="B668" s="112"/>
    </row>
    <row r="669" ht="14.25" customHeight="1">
      <c r="B669" s="112"/>
    </row>
    <row r="670" ht="14.25" customHeight="1">
      <c r="B670" s="112"/>
    </row>
    <row r="671" ht="14.25" customHeight="1">
      <c r="B671" s="112"/>
    </row>
    <row r="672" ht="14.25" customHeight="1">
      <c r="B672" s="112"/>
    </row>
    <row r="673" ht="14.25" customHeight="1">
      <c r="B673" s="112"/>
    </row>
    <row r="674" ht="14.25" customHeight="1">
      <c r="B674" s="112"/>
    </row>
    <row r="675" ht="14.25" customHeight="1">
      <c r="B675" s="112"/>
    </row>
    <row r="676" ht="14.25" customHeight="1">
      <c r="B676" s="112"/>
    </row>
    <row r="677" ht="14.25" customHeight="1">
      <c r="B677" s="112"/>
    </row>
    <row r="678" ht="14.25" customHeight="1">
      <c r="B678" s="112"/>
    </row>
    <row r="679" ht="14.25" customHeight="1">
      <c r="B679" s="112"/>
    </row>
    <row r="680" ht="14.25" customHeight="1">
      <c r="B680" s="112"/>
    </row>
    <row r="681" ht="14.25" customHeight="1">
      <c r="B681" s="112"/>
    </row>
    <row r="682" ht="14.25" customHeight="1">
      <c r="B682" s="112"/>
    </row>
    <row r="683" ht="14.25" customHeight="1">
      <c r="B683" s="112"/>
    </row>
    <row r="684" ht="14.25" customHeight="1">
      <c r="B684" s="112"/>
    </row>
    <row r="685" ht="14.25" customHeight="1">
      <c r="B685" s="112"/>
    </row>
    <row r="686" ht="14.25" customHeight="1">
      <c r="B686" s="112"/>
    </row>
    <row r="687" ht="14.25" customHeight="1">
      <c r="B687" s="112"/>
    </row>
    <row r="688" ht="14.25" customHeight="1">
      <c r="B688" s="112"/>
    </row>
    <row r="689" ht="14.25" customHeight="1">
      <c r="B689" s="112"/>
    </row>
    <row r="690" ht="14.25" customHeight="1">
      <c r="B690" s="112"/>
    </row>
    <row r="691" ht="14.25" customHeight="1">
      <c r="B691" s="112"/>
    </row>
    <row r="692" ht="14.25" customHeight="1">
      <c r="B692" s="112"/>
    </row>
    <row r="693" ht="14.25" customHeight="1">
      <c r="B693" s="112"/>
    </row>
    <row r="694" ht="14.25" customHeight="1">
      <c r="B694" s="112"/>
    </row>
    <row r="695" ht="14.25" customHeight="1">
      <c r="B695" s="112"/>
    </row>
    <row r="696" ht="14.25" customHeight="1">
      <c r="B696" s="112"/>
    </row>
    <row r="697" ht="14.25" customHeight="1">
      <c r="B697" s="112"/>
    </row>
    <row r="698" ht="14.25" customHeight="1">
      <c r="B698" s="112"/>
    </row>
    <row r="699" ht="14.25" customHeight="1">
      <c r="B699" s="112"/>
    </row>
    <row r="700" ht="14.25" customHeight="1">
      <c r="B700" s="112"/>
    </row>
    <row r="701" ht="14.25" customHeight="1">
      <c r="B701" s="112"/>
    </row>
    <row r="702" ht="14.25" customHeight="1">
      <c r="B702" s="112"/>
    </row>
    <row r="703" ht="14.25" customHeight="1">
      <c r="B703" s="112"/>
    </row>
    <row r="704" ht="14.25" customHeight="1">
      <c r="B704" s="112"/>
    </row>
    <row r="705" ht="14.25" customHeight="1">
      <c r="B705" s="112"/>
    </row>
    <row r="706" ht="14.25" customHeight="1">
      <c r="B706" s="112"/>
    </row>
    <row r="707" ht="14.25" customHeight="1">
      <c r="B707" s="112"/>
    </row>
    <row r="708" ht="14.25" customHeight="1">
      <c r="B708" s="112"/>
    </row>
    <row r="709" ht="14.25" customHeight="1">
      <c r="B709" s="112"/>
    </row>
    <row r="710" ht="14.25" customHeight="1">
      <c r="B710" s="112"/>
    </row>
    <row r="711" ht="14.25" customHeight="1">
      <c r="B711" s="112"/>
    </row>
    <row r="712" ht="14.25" customHeight="1">
      <c r="B712" s="112"/>
    </row>
    <row r="713" ht="14.25" customHeight="1">
      <c r="B713" s="112"/>
    </row>
    <row r="714" ht="14.25" customHeight="1">
      <c r="B714" s="112"/>
    </row>
    <row r="715" ht="14.25" customHeight="1">
      <c r="B715" s="112"/>
    </row>
    <row r="716" ht="14.25" customHeight="1">
      <c r="B716" s="112"/>
    </row>
    <row r="717" ht="14.25" customHeight="1">
      <c r="B717" s="112"/>
    </row>
    <row r="718" ht="14.25" customHeight="1">
      <c r="B718" s="112"/>
    </row>
    <row r="719" ht="14.25" customHeight="1">
      <c r="B719" s="112"/>
    </row>
    <row r="720" ht="14.25" customHeight="1">
      <c r="B720" s="112"/>
    </row>
    <row r="721" ht="14.25" customHeight="1">
      <c r="B721" s="112"/>
    </row>
    <row r="722" ht="14.25" customHeight="1">
      <c r="B722" s="112"/>
    </row>
    <row r="723" ht="14.25" customHeight="1">
      <c r="B723" s="112"/>
    </row>
    <row r="724" ht="14.25" customHeight="1">
      <c r="B724" s="112"/>
    </row>
    <row r="725" ht="14.25" customHeight="1">
      <c r="B725" s="112"/>
    </row>
    <row r="726" ht="14.25" customHeight="1">
      <c r="B726" s="112"/>
    </row>
    <row r="727" ht="14.25" customHeight="1">
      <c r="B727" s="112"/>
    </row>
    <row r="728" ht="14.25" customHeight="1">
      <c r="B728" s="112"/>
    </row>
    <row r="729" ht="14.25" customHeight="1">
      <c r="B729" s="112"/>
    </row>
    <row r="730" ht="14.25" customHeight="1">
      <c r="B730" s="112"/>
    </row>
    <row r="731" ht="14.25" customHeight="1">
      <c r="B731" s="112"/>
    </row>
    <row r="732" ht="14.25" customHeight="1">
      <c r="B732" s="112"/>
    </row>
    <row r="733" ht="14.25" customHeight="1">
      <c r="B733" s="112"/>
    </row>
    <row r="734" ht="14.25" customHeight="1">
      <c r="B734" s="112"/>
    </row>
    <row r="735" ht="14.25" customHeight="1">
      <c r="B735" s="112"/>
    </row>
    <row r="736" ht="14.25" customHeight="1">
      <c r="B736" s="112"/>
    </row>
    <row r="737" ht="14.25" customHeight="1">
      <c r="B737" s="112"/>
    </row>
    <row r="738" ht="14.25" customHeight="1">
      <c r="B738" s="112"/>
    </row>
    <row r="739" ht="14.25" customHeight="1">
      <c r="B739" s="112"/>
    </row>
    <row r="740" ht="14.25" customHeight="1">
      <c r="B740" s="112"/>
    </row>
    <row r="741" ht="14.25" customHeight="1">
      <c r="B741" s="112"/>
    </row>
    <row r="742" ht="14.25" customHeight="1">
      <c r="B742" s="112"/>
    </row>
    <row r="743" ht="14.25" customHeight="1">
      <c r="B743" s="112"/>
    </row>
    <row r="744" ht="14.25" customHeight="1">
      <c r="B744" s="112"/>
    </row>
    <row r="745" ht="14.25" customHeight="1">
      <c r="B745" s="112"/>
    </row>
    <row r="746" ht="14.25" customHeight="1">
      <c r="B746" s="112"/>
    </row>
    <row r="747" ht="14.25" customHeight="1">
      <c r="B747" s="112"/>
    </row>
    <row r="748" ht="14.25" customHeight="1">
      <c r="B748" s="112"/>
    </row>
    <row r="749" ht="14.25" customHeight="1">
      <c r="B749" s="112"/>
    </row>
    <row r="750" ht="14.25" customHeight="1">
      <c r="B750" s="112"/>
    </row>
    <row r="751" ht="14.25" customHeight="1">
      <c r="B751" s="112"/>
    </row>
    <row r="752" ht="14.25" customHeight="1">
      <c r="B752" s="112"/>
    </row>
    <row r="753" ht="14.25" customHeight="1">
      <c r="B753" s="112"/>
    </row>
    <row r="754" ht="14.25" customHeight="1">
      <c r="B754" s="112"/>
    </row>
    <row r="755" ht="14.25" customHeight="1">
      <c r="B755" s="112"/>
    </row>
    <row r="756" ht="14.25" customHeight="1">
      <c r="B756" s="112"/>
    </row>
    <row r="757" ht="14.25" customHeight="1">
      <c r="B757" s="112"/>
    </row>
    <row r="758" ht="14.25" customHeight="1">
      <c r="B758" s="112"/>
    </row>
    <row r="759" ht="14.25" customHeight="1">
      <c r="B759" s="112"/>
    </row>
    <row r="760" ht="14.25" customHeight="1">
      <c r="B760" s="112"/>
    </row>
    <row r="761" ht="14.25" customHeight="1">
      <c r="B761" s="112"/>
    </row>
    <row r="762" ht="14.25" customHeight="1">
      <c r="B762" s="112"/>
    </row>
    <row r="763" ht="14.25" customHeight="1">
      <c r="B763" s="112"/>
    </row>
    <row r="764" ht="14.25" customHeight="1">
      <c r="B764" s="112"/>
    </row>
    <row r="765" ht="14.25" customHeight="1">
      <c r="B765" s="112"/>
    </row>
    <row r="766" ht="14.25" customHeight="1">
      <c r="B766" s="112"/>
    </row>
    <row r="767" ht="14.25" customHeight="1">
      <c r="B767" s="112"/>
    </row>
    <row r="768" ht="14.25" customHeight="1">
      <c r="B768" s="112"/>
    </row>
    <row r="769" ht="14.25" customHeight="1">
      <c r="B769" s="112"/>
    </row>
    <row r="770" ht="14.25" customHeight="1">
      <c r="B770" s="112"/>
    </row>
    <row r="771" ht="14.25" customHeight="1">
      <c r="B771" s="112"/>
    </row>
    <row r="772" ht="14.25" customHeight="1">
      <c r="B772" s="112"/>
    </row>
    <row r="773" ht="14.25" customHeight="1">
      <c r="B773" s="112"/>
    </row>
    <row r="774" ht="14.25" customHeight="1">
      <c r="B774" s="112"/>
    </row>
    <row r="775" ht="14.25" customHeight="1">
      <c r="B775" s="112"/>
    </row>
    <row r="776" ht="14.25" customHeight="1">
      <c r="B776" s="112"/>
    </row>
    <row r="777" ht="14.25" customHeight="1">
      <c r="B777" s="112"/>
    </row>
    <row r="778" ht="14.25" customHeight="1">
      <c r="B778" s="112"/>
    </row>
    <row r="779" ht="14.25" customHeight="1">
      <c r="B779" s="112"/>
    </row>
    <row r="780" ht="14.25" customHeight="1">
      <c r="B780" s="112"/>
    </row>
    <row r="781" ht="14.25" customHeight="1">
      <c r="B781" s="112"/>
    </row>
    <row r="782" ht="14.25" customHeight="1">
      <c r="B782" s="112"/>
    </row>
    <row r="783" ht="14.25" customHeight="1">
      <c r="B783" s="112"/>
    </row>
    <row r="784" ht="14.25" customHeight="1">
      <c r="B784" s="112"/>
    </row>
    <row r="785" ht="14.25" customHeight="1">
      <c r="B785" s="112"/>
    </row>
    <row r="786" ht="14.25" customHeight="1">
      <c r="B786" s="112"/>
    </row>
    <row r="787" ht="14.25" customHeight="1">
      <c r="B787" s="112"/>
    </row>
    <row r="788" ht="14.25" customHeight="1">
      <c r="B788" s="112"/>
    </row>
    <row r="789" ht="14.25" customHeight="1">
      <c r="B789" s="112"/>
    </row>
    <row r="790" ht="14.25" customHeight="1">
      <c r="B790" s="112"/>
    </row>
    <row r="791" ht="14.25" customHeight="1">
      <c r="B791" s="112"/>
    </row>
    <row r="792" ht="14.25" customHeight="1">
      <c r="B792" s="112"/>
    </row>
    <row r="793" ht="14.25" customHeight="1">
      <c r="B793" s="112"/>
    </row>
    <row r="794" ht="14.25" customHeight="1">
      <c r="B794" s="112"/>
    </row>
    <row r="795" ht="14.25" customHeight="1">
      <c r="B795" s="112"/>
    </row>
    <row r="796" ht="14.25" customHeight="1">
      <c r="B796" s="112"/>
    </row>
    <row r="797" ht="14.25" customHeight="1">
      <c r="B797" s="112"/>
    </row>
    <row r="798" ht="14.25" customHeight="1">
      <c r="B798" s="112"/>
    </row>
    <row r="799" ht="14.25" customHeight="1">
      <c r="B799" s="112"/>
    </row>
    <row r="800" ht="14.25" customHeight="1">
      <c r="B800" s="112"/>
    </row>
    <row r="801" ht="14.25" customHeight="1">
      <c r="B801" s="112"/>
    </row>
    <row r="802" ht="14.25" customHeight="1">
      <c r="B802" s="112"/>
    </row>
    <row r="803" ht="14.25" customHeight="1">
      <c r="B803" s="112"/>
    </row>
    <row r="804" ht="14.25" customHeight="1">
      <c r="B804" s="112"/>
    </row>
    <row r="805" ht="14.25" customHeight="1">
      <c r="B805" s="112"/>
    </row>
    <row r="806" ht="14.25" customHeight="1">
      <c r="B806" s="112"/>
    </row>
    <row r="807" ht="14.25" customHeight="1">
      <c r="B807" s="112"/>
    </row>
    <row r="808" ht="14.25" customHeight="1">
      <c r="B808" s="112"/>
    </row>
    <row r="809" ht="14.25" customHeight="1">
      <c r="B809" s="112"/>
    </row>
    <row r="810" ht="14.25" customHeight="1">
      <c r="B810" s="112"/>
    </row>
    <row r="811" ht="14.25" customHeight="1">
      <c r="B811" s="112"/>
    </row>
    <row r="812" ht="14.25" customHeight="1">
      <c r="B812" s="112"/>
    </row>
    <row r="813" ht="14.25" customHeight="1">
      <c r="B813" s="112"/>
    </row>
    <row r="814" ht="14.25" customHeight="1">
      <c r="B814" s="112"/>
    </row>
    <row r="815" ht="14.25" customHeight="1">
      <c r="B815" s="112"/>
    </row>
    <row r="816" ht="14.25" customHeight="1">
      <c r="B816" s="112"/>
    </row>
    <row r="817" ht="14.25" customHeight="1">
      <c r="B817" s="112"/>
    </row>
    <row r="818" ht="14.25" customHeight="1">
      <c r="B818" s="112"/>
    </row>
    <row r="819" ht="14.25" customHeight="1">
      <c r="B819" s="112"/>
    </row>
    <row r="820" ht="14.25" customHeight="1">
      <c r="B820" s="112"/>
    </row>
    <row r="821" ht="14.25" customHeight="1">
      <c r="B821" s="112"/>
    </row>
    <row r="822" ht="14.25" customHeight="1">
      <c r="B822" s="112"/>
    </row>
    <row r="823" ht="14.25" customHeight="1">
      <c r="B823" s="112"/>
    </row>
    <row r="824" ht="14.25" customHeight="1">
      <c r="B824" s="112"/>
    </row>
    <row r="825" ht="14.25" customHeight="1">
      <c r="B825" s="112"/>
    </row>
    <row r="826" ht="14.25" customHeight="1">
      <c r="B826" s="112"/>
    </row>
    <row r="827" ht="14.25" customHeight="1">
      <c r="B827" s="112"/>
    </row>
    <row r="828" ht="14.25" customHeight="1">
      <c r="B828" s="112"/>
    </row>
    <row r="829" ht="14.25" customHeight="1">
      <c r="B829" s="112"/>
    </row>
    <row r="830" ht="14.25" customHeight="1">
      <c r="B830" s="112"/>
    </row>
    <row r="831" ht="14.25" customHeight="1">
      <c r="B831" s="112"/>
    </row>
    <row r="832" ht="14.25" customHeight="1">
      <c r="B832" s="112"/>
    </row>
    <row r="833" ht="14.25" customHeight="1">
      <c r="B833" s="112"/>
    </row>
    <row r="834" ht="14.25" customHeight="1">
      <c r="B834" s="112"/>
    </row>
    <row r="835" ht="14.25" customHeight="1">
      <c r="B835" s="112"/>
    </row>
    <row r="836" ht="14.25" customHeight="1">
      <c r="B836" s="112"/>
    </row>
    <row r="837" ht="14.25" customHeight="1">
      <c r="B837" s="112"/>
    </row>
    <row r="838" ht="14.25" customHeight="1">
      <c r="B838" s="112"/>
    </row>
    <row r="839" ht="14.25" customHeight="1">
      <c r="B839" s="112"/>
    </row>
    <row r="840" ht="14.25" customHeight="1">
      <c r="B840" s="112"/>
    </row>
    <row r="841" ht="14.25" customHeight="1">
      <c r="B841" s="112"/>
    </row>
    <row r="842" ht="14.25" customHeight="1">
      <c r="B842" s="112"/>
    </row>
    <row r="843" ht="14.25" customHeight="1">
      <c r="B843" s="112"/>
    </row>
    <row r="844" ht="14.25" customHeight="1">
      <c r="B844" s="112"/>
    </row>
    <row r="845" ht="14.25" customHeight="1">
      <c r="B845" s="112"/>
    </row>
    <row r="846" ht="14.25" customHeight="1">
      <c r="B846" s="112"/>
    </row>
    <row r="847" ht="14.25" customHeight="1">
      <c r="B847" s="112"/>
    </row>
    <row r="848" ht="14.25" customHeight="1">
      <c r="B848" s="112"/>
    </row>
    <row r="849" ht="14.25" customHeight="1">
      <c r="B849" s="112"/>
    </row>
    <row r="850" ht="14.25" customHeight="1">
      <c r="B850" s="112"/>
    </row>
    <row r="851" ht="14.25" customHeight="1">
      <c r="B851" s="112"/>
    </row>
    <row r="852" ht="14.25" customHeight="1">
      <c r="B852" s="112"/>
    </row>
    <row r="853" ht="14.25" customHeight="1">
      <c r="B853" s="112"/>
    </row>
    <row r="854" ht="14.25" customHeight="1">
      <c r="B854" s="112"/>
    </row>
    <row r="855" ht="14.25" customHeight="1">
      <c r="B855" s="112"/>
    </row>
    <row r="856" ht="14.25" customHeight="1">
      <c r="B856" s="112"/>
    </row>
    <row r="857" ht="14.25" customHeight="1">
      <c r="B857" s="112"/>
    </row>
    <row r="858" ht="14.25" customHeight="1">
      <c r="B858" s="112"/>
    </row>
    <row r="859" ht="14.25" customHeight="1">
      <c r="B859" s="112"/>
    </row>
    <row r="860" ht="14.25" customHeight="1">
      <c r="B860" s="112"/>
    </row>
    <row r="861" ht="14.25" customHeight="1">
      <c r="B861" s="112"/>
    </row>
    <row r="862" ht="14.25" customHeight="1">
      <c r="B862" s="112"/>
    </row>
    <row r="863" ht="14.25" customHeight="1">
      <c r="B863" s="112"/>
    </row>
    <row r="864" ht="14.25" customHeight="1">
      <c r="B864" s="112"/>
    </row>
    <row r="865" ht="14.25" customHeight="1">
      <c r="B865" s="112"/>
    </row>
    <row r="866" ht="14.25" customHeight="1">
      <c r="B866" s="112"/>
    </row>
    <row r="867" ht="14.25" customHeight="1">
      <c r="B867" s="112"/>
    </row>
    <row r="868" ht="14.25" customHeight="1">
      <c r="B868" s="112"/>
    </row>
    <row r="869" ht="14.25" customHeight="1">
      <c r="B869" s="112"/>
    </row>
    <row r="870" ht="14.25" customHeight="1">
      <c r="B870" s="112"/>
    </row>
    <row r="871" ht="14.25" customHeight="1">
      <c r="B871" s="112"/>
    </row>
    <row r="872" ht="14.25" customHeight="1">
      <c r="B872" s="112"/>
    </row>
    <row r="873" ht="14.25" customHeight="1">
      <c r="B873" s="112"/>
    </row>
    <row r="874" ht="14.25" customHeight="1">
      <c r="B874" s="112"/>
    </row>
    <row r="875" ht="14.25" customHeight="1">
      <c r="B875" s="112"/>
    </row>
    <row r="876" ht="14.25" customHeight="1">
      <c r="B876" s="112"/>
    </row>
    <row r="877" ht="14.25" customHeight="1">
      <c r="B877" s="112"/>
    </row>
    <row r="878" ht="14.25" customHeight="1">
      <c r="B878" s="112"/>
    </row>
    <row r="879" ht="14.25" customHeight="1">
      <c r="B879" s="112"/>
    </row>
    <row r="880" ht="14.25" customHeight="1">
      <c r="B880" s="112"/>
    </row>
    <row r="881" ht="14.25" customHeight="1">
      <c r="B881" s="112"/>
    </row>
    <row r="882" ht="14.25" customHeight="1">
      <c r="B882" s="112"/>
    </row>
    <row r="883" ht="14.25" customHeight="1">
      <c r="B883" s="112"/>
    </row>
    <row r="884" ht="14.25" customHeight="1">
      <c r="B884" s="112"/>
    </row>
    <row r="885" ht="14.25" customHeight="1">
      <c r="B885" s="112"/>
    </row>
    <row r="886" ht="14.25" customHeight="1">
      <c r="B886" s="112"/>
    </row>
    <row r="887" ht="14.25" customHeight="1">
      <c r="B887" s="112"/>
    </row>
    <row r="888" ht="14.25" customHeight="1">
      <c r="B888" s="112"/>
    </row>
    <row r="889" ht="14.25" customHeight="1">
      <c r="B889" s="112"/>
    </row>
    <row r="890" ht="14.25" customHeight="1">
      <c r="B890" s="112"/>
    </row>
    <row r="891" ht="14.25" customHeight="1">
      <c r="B891" s="112"/>
    </row>
    <row r="892" ht="14.25" customHeight="1">
      <c r="B892" s="112"/>
    </row>
    <row r="893" ht="14.25" customHeight="1">
      <c r="B893" s="112"/>
    </row>
    <row r="894" ht="14.25" customHeight="1">
      <c r="B894" s="112"/>
    </row>
    <row r="895" ht="14.25" customHeight="1">
      <c r="B895" s="112"/>
    </row>
    <row r="896" ht="14.25" customHeight="1">
      <c r="B896" s="112"/>
    </row>
    <row r="897" ht="14.25" customHeight="1">
      <c r="B897" s="112"/>
    </row>
    <row r="898" ht="14.25" customHeight="1">
      <c r="B898" s="112"/>
    </row>
    <row r="899" ht="14.25" customHeight="1">
      <c r="B899" s="112"/>
    </row>
    <row r="900" ht="14.25" customHeight="1">
      <c r="B900" s="112"/>
    </row>
    <row r="901" ht="14.25" customHeight="1">
      <c r="B901" s="112"/>
    </row>
    <row r="902" ht="14.25" customHeight="1">
      <c r="B902" s="112"/>
    </row>
    <row r="903" ht="14.25" customHeight="1">
      <c r="B903" s="112"/>
    </row>
    <row r="904" ht="14.25" customHeight="1">
      <c r="B904" s="112"/>
    </row>
    <row r="905" ht="14.25" customHeight="1">
      <c r="B905" s="112"/>
    </row>
    <row r="906" ht="14.25" customHeight="1">
      <c r="B906" s="112"/>
    </row>
    <row r="907" ht="14.25" customHeight="1">
      <c r="B907" s="112"/>
    </row>
    <row r="908" ht="14.25" customHeight="1">
      <c r="B908" s="112"/>
    </row>
    <row r="909" ht="14.25" customHeight="1">
      <c r="B909" s="112"/>
    </row>
    <row r="910" ht="14.25" customHeight="1">
      <c r="B910" s="112"/>
    </row>
    <row r="911" ht="14.25" customHeight="1">
      <c r="B911" s="112"/>
    </row>
    <row r="912" ht="14.25" customHeight="1">
      <c r="B912" s="112"/>
    </row>
    <row r="913" ht="14.25" customHeight="1">
      <c r="B913" s="112"/>
    </row>
    <row r="914" ht="14.25" customHeight="1">
      <c r="B914" s="112"/>
    </row>
    <row r="915" ht="14.25" customHeight="1">
      <c r="B915" s="112"/>
    </row>
    <row r="916" ht="14.25" customHeight="1">
      <c r="B916" s="112"/>
    </row>
    <row r="917" ht="14.25" customHeight="1">
      <c r="B917" s="112"/>
    </row>
    <row r="918" ht="14.25" customHeight="1">
      <c r="B918" s="112"/>
    </row>
    <row r="919" ht="14.25" customHeight="1">
      <c r="B919" s="112"/>
    </row>
    <row r="920" ht="14.25" customHeight="1">
      <c r="B920" s="112"/>
    </row>
    <row r="921" ht="14.25" customHeight="1">
      <c r="B921" s="112"/>
    </row>
    <row r="922" ht="14.25" customHeight="1">
      <c r="B922" s="112"/>
    </row>
    <row r="923" ht="14.25" customHeight="1">
      <c r="B923" s="112"/>
    </row>
    <row r="924" ht="14.25" customHeight="1">
      <c r="B924" s="112"/>
    </row>
    <row r="925" ht="14.25" customHeight="1">
      <c r="B925" s="112"/>
    </row>
    <row r="926" ht="14.25" customHeight="1">
      <c r="B926" s="112"/>
    </row>
    <row r="927" ht="14.25" customHeight="1">
      <c r="B927" s="112"/>
    </row>
    <row r="928" ht="14.25" customHeight="1">
      <c r="B928" s="112"/>
    </row>
    <row r="929" ht="14.25" customHeight="1">
      <c r="B929" s="112"/>
    </row>
    <row r="930" ht="14.25" customHeight="1">
      <c r="B930" s="112"/>
    </row>
    <row r="931" ht="14.25" customHeight="1">
      <c r="B931" s="112"/>
    </row>
    <row r="932" ht="14.25" customHeight="1">
      <c r="B932" s="112"/>
    </row>
    <row r="933" ht="14.25" customHeight="1">
      <c r="B933" s="112"/>
    </row>
    <row r="934" ht="14.25" customHeight="1">
      <c r="B934" s="112"/>
    </row>
    <row r="935" ht="14.25" customHeight="1">
      <c r="B935" s="112"/>
    </row>
    <row r="936" ht="14.25" customHeight="1">
      <c r="B936" s="112"/>
    </row>
    <row r="937" ht="14.25" customHeight="1">
      <c r="B937" s="112"/>
    </row>
    <row r="938" ht="14.25" customHeight="1">
      <c r="B938" s="112"/>
    </row>
    <row r="939" ht="14.25" customHeight="1">
      <c r="B939" s="112"/>
    </row>
    <row r="940" ht="14.25" customHeight="1">
      <c r="B940" s="112"/>
    </row>
    <row r="941" ht="14.25" customHeight="1">
      <c r="B941" s="112"/>
    </row>
    <row r="942" ht="14.25" customHeight="1">
      <c r="B942" s="112"/>
    </row>
    <row r="943" ht="14.25" customHeight="1">
      <c r="B943" s="112"/>
    </row>
    <row r="944" ht="14.25" customHeight="1">
      <c r="B944" s="112"/>
    </row>
    <row r="945" ht="14.25" customHeight="1">
      <c r="B945" s="112"/>
    </row>
    <row r="946" ht="14.25" customHeight="1">
      <c r="B946" s="112"/>
    </row>
    <row r="947" ht="14.25" customHeight="1">
      <c r="B947" s="112"/>
    </row>
    <row r="948" ht="14.25" customHeight="1">
      <c r="B948" s="112"/>
    </row>
    <row r="949" ht="14.25" customHeight="1">
      <c r="B949" s="112"/>
    </row>
    <row r="950" ht="14.25" customHeight="1">
      <c r="B950" s="112"/>
    </row>
    <row r="951" ht="14.25" customHeight="1">
      <c r="B951" s="112"/>
    </row>
    <row r="952" ht="14.25" customHeight="1">
      <c r="B952" s="112"/>
    </row>
    <row r="953" ht="14.25" customHeight="1">
      <c r="B953" s="112"/>
    </row>
    <row r="954" ht="14.25" customHeight="1">
      <c r="B954" s="112"/>
    </row>
    <row r="955" ht="14.25" customHeight="1">
      <c r="B955" s="112"/>
    </row>
    <row r="956" ht="14.25" customHeight="1">
      <c r="B956" s="112"/>
    </row>
    <row r="957" ht="14.25" customHeight="1">
      <c r="B957" s="112"/>
    </row>
    <row r="958" ht="14.25" customHeight="1">
      <c r="B958" s="112"/>
    </row>
    <row r="959" ht="14.25" customHeight="1">
      <c r="B959" s="112"/>
    </row>
    <row r="960" ht="14.25" customHeight="1">
      <c r="B960" s="112"/>
    </row>
    <row r="961" ht="14.25" customHeight="1">
      <c r="B961" s="112"/>
    </row>
    <row r="962" ht="14.25" customHeight="1">
      <c r="B962" s="112"/>
    </row>
    <row r="963" ht="14.25" customHeight="1">
      <c r="B963" s="112"/>
    </row>
    <row r="964" ht="14.25" customHeight="1">
      <c r="B964" s="112"/>
    </row>
    <row r="965" ht="14.25" customHeight="1">
      <c r="B965" s="112"/>
    </row>
    <row r="966" ht="14.25" customHeight="1">
      <c r="B966" s="112"/>
    </row>
    <row r="967" ht="14.25" customHeight="1">
      <c r="B967" s="112"/>
    </row>
    <row r="968" ht="14.25" customHeight="1">
      <c r="B968" s="112"/>
    </row>
    <row r="969" ht="14.25" customHeight="1">
      <c r="B969" s="112"/>
    </row>
    <row r="970" ht="14.25" customHeight="1">
      <c r="B970" s="112"/>
    </row>
    <row r="971" ht="14.25" customHeight="1">
      <c r="B971" s="112"/>
    </row>
    <row r="972" ht="14.25" customHeight="1">
      <c r="B972" s="112"/>
    </row>
    <row r="973" ht="14.25" customHeight="1">
      <c r="B973" s="112"/>
    </row>
    <row r="974" ht="14.25" customHeight="1">
      <c r="B974" s="112"/>
    </row>
    <row r="975" ht="14.25" customHeight="1">
      <c r="B975" s="112"/>
    </row>
    <row r="976" ht="14.25" customHeight="1">
      <c r="B976" s="112"/>
    </row>
    <row r="977" ht="14.25" customHeight="1">
      <c r="B977" s="112"/>
    </row>
    <row r="978" ht="14.25" customHeight="1">
      <c r="B978" s="112"/>
    </row>
    <row r="979" ht="14.25" customHeight="1">
      <c r="B979" s="112"/>
    </row>
    <row r="980" ht="14.25" customHeight="1">
      <c r="B980" s="112"/>
    </row>
    <row r="981" ht="14.25" customHeight="1">
      <c r="B981" s="112"/>
    </row>
    <row r="982" ht="14.25" customHeight="1">
      <c r="B982" s="112"/>
    </row>
    <row r="983" ht="14.25" customHeight="1">
      <c r="B983" s="112"/>
    </row>
    <row r="984" ht="14.25" customHeight="1">
      <c r="B984" s="112"/>
    </row>
    <row r="985" ht="14.25" customHeight="1">
      <c r="B985" s="112"/>
    </row>
    <row r="986" ht="14.25" customHeight="1">
      <c r="B986" s="112"/>
    </row>
    <row r="987" ht="14.25" customHeight="1">
      <c r="B987" s="112"/>
    </row>
    <row r="988" ht="14.25" customHeight="1">
      <c r="B988" s="112"/>
    </row>
    <row r="989" ht="14.25" customHeight="1">
      <c r="B989" s="112"/>
    </row>
    <row r="990" ht="14.25" customHeight="1">
      <c r="B990" s="112"/>
    </row>
    <row r="991" ht="14.25" customHeight="1">
      <c r="B991" s="112"/>
    </row>
    <row r="992" ht="14.25" customHeight="1">
      <c r="B992" s="112"/>
    </row>
    <row r="993" ht="14.25" customHeight="1">
      <c r="B993" s="112"/>
    </row>
    <row r="994" ht="14.25" customHeight="1">
      <c r="B994" s="112"/>
    </row>
    <row r="995" ht="14.25" customHeight="1">
      <c r="B995" s="112"/>
    </row>
    <row r="996" ht="14.25" customHeight="1">
      <c r="B996" s="112"/>
    </row>
    <row r="997" ht="14.25" customHeight="1">
      <c r="B997" s="112"/>
    </row>
    <row r="998" ht="14.25" customHeight="1">
      <c r="B998" s="112"/>
    </row>
    <row r="999" ht="14.25" customHeight="1">
      <c r="B999" s="112"/>
    </row>
    <row r="1000" ht="14.25" customHeight="1">
      <c r="B1000" s="112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 ht="14.25" customHeight="1">
      <c r="A1" t="s">
        <v>67</v>
      </c>
      <c r="B1" s="112">
        <v>20.0</v>
      </c>
    </row>
    <row r="2" ht="14.25" customHeight="1">
      <c r="A2" t="s">
        <v>68</v>
      </c>
      <c r="B2" s="112">
        <v>60.0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9.14"/>
    <col customWidth="1" min="3" max="26" width="8.71"/>
  </cols>
  <sheetData>
    <row r="1" ht="14.25" customHeight="1">
      <c r="A1" t="s">
        <v>69</v>
      </c>
      <c r="B1" s="112">
        <v>0.0</v>
      </c>
    </row>
    <row r="2" ht="14.25" customHeight="1">
      <c r="A2" t="s">
        <v>70</v>
      </c>
      <c r="B2" s="112">
        <v>3.0</v>
      </c>
    </row>
    <row r="3" ht="14.25" customHeight="1">
      <c r="A3" t="s">
        <v>26</v>
      </c>
      <c r="B3" s="112">
        <v>5.0</v>
      </c>
    </row>
    <row r="4" ht="14.25" customHeight="1">
      <c r="A4" t="s">
        <v>71</v>
      </c>
      <c r="B4" s="112">
        <v>8.0</v>
      </c>
    </row>
    <row r="5" ht="14.25" customHeight="1">
      <c r="A5" t="s">
        <v>72</v>
      </c>
      <c r="B5" s="112">
        <v>0.0</v>
      </c>
    </row>
    <row r="6" ht="14.25" customHeight="1">
      <c r="B6" s="112"/>
    </row>
    <row r="7" ht="14.25" customHeight="1">
      <c r="B7" s="112"/>
    </row>
    <row r="8" ht="14.25" customHeight="1">
      <c r="B8" s="112"/>
    </row>
    <row r="9" ht="14.25" customHeight="1">
      <c r="B9" s="112"/>
    </row>
    <row r="10" ht="14.25" customHeight="1">
      <c r="B10" s="112"/>
    </row>
    <row r="11" ht="14.25" customHeight="1">
      <c r="B11" s="112"/>
    </row>
    <row r="12" ht="14.25" customHeight="1">
      <c r="B12" s="112"/>
    </row>
    <row r="13" ht="14.25" customHeight="1">
      <c r="B13" s="112"/>
    </row>
    <row r="14" ht="14.25" customHeight="1">
      <c r="B14" s="112"/>
    </row>
    <row r="15" ht="14.25" customHeight="1">
      <c r="B15" s="112"/>
    </row>
    <row r="16" ht="14.25" customHeight="1">
      <c r="B16" s="112"/>
    </row>
    <row r="17" ht="14.25" customHeight="1">
      <c r="B17" s="112"/>
    </row>
    <row r="18" ht="14.25" customHeight="1">
      <c r="B18" s="112"/>
    </row>
    <row r="19" ht="14.25" customHeight="1">
      <c r="B19" s="112"/>
    </row>
    <row r="20" ht="14.25" customHeight="1">
      <c r="B20" s="112"/>
    </row>
    <row r="21" ht="14.25" customHeight="1">
      <c r="B21" s="112"/>
    </row>
    <row r="22" ht="14.25" customHeight="1">
      <c r="B22" s="112"/>
    </row>
    <row r="23" ht="14.25" customHeight="1">
      <c r="B23" s="112"/>
    </row>
    <row r="24" ht="14.25" customHeight="1">
      <c r="B24" s="112"/>
    </row>
    <row r="25" ht="14.25" customHeight="1">
      <c r="B25" s="112"/>
    </row>
    <row r="26" ht="14.25" customHeight="1">
      <c r="B26" s="112"/>
    </row>
    <row r="27" ht="14.25" customHeight="1">
      <c r="B27" s="112"/>
    </row>
    <row r="28" ht="14.25" customHeight="1">
      <c r="B28" s="112"/>
    </row>
    <row r="29" ht="14.25" customHeight="1">
      <c r="B29" s="112"/>
    </row>
    <row r="30" ht="14.25" customHeight="1">
      <c r="B30" s="112"/>
    </row>
    <row r="31" ht="14.25" customHeight="1">
      <c r="B31" s="112"/>
    </row>
    <row r="32" ht="14.25" customHeight="1">
      <c r="B32" s="112"/>
    </row>
    <row r="33" ht="14.25" customHeight="1">
      <c r="B33" s="112"/>
    </row>
    <row r="34" ht="14.25" customHeight="1">
      <c r="B34" s="112"/>
    </row>
    <row r="35" ht="14.25" customHeight="1">
      <c r="B35" s="112"/>
    </row>
    <row r="36" ht="14.25" customHeight="1">
      <c r="B36" s="112"/>
    </row>
    <row r="37" ht="14.25" customHeight="1">
      <c r="B37" s="112"/>
    </row>
    <row r="38" ht="14.25" customHeight="1">
      <c r="B38" s="112"/>
    </row>
    <row r="39" ht="14.25" customHeight="1">
      <c r="B39" s="112"/>
    </row>
    <row r="40" ht="14.25" customHeight="1">
      <c r="B40" s="112"/>
    </row>
    <row r="41" ht="14.25" customHeight="1">
      <c r="B41" s="112"/>
    </row>
    <row r="42" ht="14.25" customHeight="1">
      <c r="B42" s="112"/>
    </row>
    <row r="43" ht="14.25" customHeight="1">
      <c r="B43" s="112"/>
    </row>
    <row r="44" ht="14.25" customHeight="1">
      <c r="B44" s="112"/>
    </row>
    <row r="45" ht="14.25" customHeight="1">
      <c r="B45" s="112"/>
    </row>
    <row r="46" ht="14.25" customHeight="1">
      <c r="B46" s="112"/>
    </row>
    <row r="47" ht="14.25" customHeight="1">
      <c r="B47" s="112"/>
    </row>
    <row r="48" ht="14.25" customHeight="1">
      <c r="B48" s="112"/>
    </row>
    <row r="49" ht="14.25" customHeight="1">
      <c r="B49" s="112"/>
    </row>
    <row r="50" ht="14.25" customHeight="1">
      <c r="B50" s="112"/>
    </row>
    <row r="51" ht="14.25" customHeight="1">
      <c r="B51" s="112"/>
    </row>
    <row r="52" ht="14.25" customHeight="1">
      <c r="B52" s="112"/>
    </row>
    <row r="53" ht="14.25" customHeight="1">
      <c r="B53" s="112"/>
    </row>
    <row r="54" ht="14.25" customHeight="1">
      <c r="B54" s="112"/>
    </row>
    <row r="55" ht="14.25" customHeight="1">
      <c r="B55" s="112"/>
    </row>
    <row r="56" ht="14.25" customHeight="1">
      <c r="B56" s="112"/>
    </row>
    <row r="57" ht="14.25" customHeight="1">
      <c r="B57" s="112"/>
    </row>
    <row r="58" ht="14.25" customHeight="1">
      <c r="B58" s="112"/>
    </row>
    <row r="59" ht="14.25" customHeight="1">
      <c r="B59" s="112"/>
    </row>
    <row r="60" ht="14.25" customHeight="1">
      <c r="B60" s="112"/>
    </row>
    <row r="61" ht="14.25" customHeight="1">
      <c r="B61" s="112"/>
    </row>
    <row r="62" ht="14.25" customHeight="1">
      <c r="B62" s="112"/>
    </row>
    <row r="63" ht="14.25" customHeight="1">
      <c r="B63" s="112"/>
    </row>
    <row r="64" ht="14.25" customHeight="1">
      <c r="B64" s="112"/>
    </row>
    <row r="65" ht="14.25" customHeight="1">
      <c r="B65" s="112"/>
    </row>
    <row r="66" ht="14.25" customHeight="1">
      <c r="B66" s="112"/>
    </row>
    <row r="67" ht="14.25" customHeight="1">
      <c r="B67" s="112"/>
    </row>
    <row r="68" ht="14.25" customHeight="1">
      <c r="B68" s="112"/>
    </row>
    <row r="69" ht="14.25" customHeight="1">
      <c r="B69" s="112"/>
    </row>
    <row r="70" ht="14.25" customHeight="1">
      <c r="B70" s="112"/>
    </row>
    <row r="71" ht="14.25" customHeight="1">
      <c r="B71" s="112"/>
    </row>
    <row r="72" ht="14.25" customHeight="1">
      <c r="B72" s="112"/>
    </row>
    <row r="73" ht="14.25" customHeight="1">
      <c r="B73" s="112"/>
    </row>
    <row r="74" ht="14.25" customHeight="1">
      <c r="B74" s="112"/>
    </row>
    <row r="75" ht="14.25" customHeight="1">
      <c r="B75" s="112"/>
    </row>
    <row r="76" ht="14.25" customHeight="1">
      <c r="B76" s="112"/>
    </row>
    <row r="77" ht="14.25" customHeight="1">
      <c r="B77" s="112"/>
    </row>
    <row r="78" ht="14.25" customHeight="1">
      <c r="B78" s="112"/>
    </row>
    <row r="79" ht="14.25" customHeight="1">
      <c r="B79" s="112"/>
    </row>
    <row r="80" ht="14.25" customHeight="1">
      <c r="B80" s="112"/>
    </row>
    <row r="81" ht="14.25" customHeight="1">
      <c r="B81" s="112"/>
    </row>
    <row r="82" ht="14.25" customHeight="1">
      <c r="B82" s="112"/>
    </row>
    <row r="83" ht="14.25" customHeight="1">
      <c r="B83" s="112"/>
    </row>
    <row r="84" ht="14.25" customHeight="1">
      <c r="B84" s="112"/>
    </row>
    <row r="85" ht="14.25" customHeight="1">
      <c r="B85" s="112"/>
    </row>
    <row r="86" ht="14.25" customHeight="1">
      <c r="B86" s="112"/>
    </row>
    <row r="87" ht="14.25" customHeight="1">
      <c r="B87" s="112"/>
    </row>
    <row r="88" ht="14.25" customHeight="1">
      <c r="B88" s="112"/>
    </row>
    <row r="89" ht="14.25" customHeight="1">
      <c r="B89" s="112"/>
    </row>
    <row r="90" ht="14.25" customHeight="1">
      <c r="B90" s="112"/>
    </row>
    <row r="91" ht="14.25" customHeight="1">
      <c r="B91" s="112"/>
    </row>
    <row r="92" ht="14.25" customHeight="1">
      <c r="B92" s="112"/>
    </row>
    <row r="93" ht="14.25" customHeight="1">
      <c r="B93" s="112"/>
    </row>
    <row r="94" ht="14.25" customHeight="1">
      <c r="B94" s="112"/>
    </row>
    <row r="95" ht="14.25" customHeight="1">
      <c r="B95" s="112"/>
    </row>
    <row r="96" ht="14.25" customHeight="1">
      <c r="B96" s="112"/>
    </row>
    <row r="97" ht="14.25" customHeight="1">
      <c r="B97" s="112"/>
    </row>
    <row r="98" ht="14.25" customHeight="1">
      <c r="B98" s="112"/>
    </row>
    <row r="99" ht="14.25" customHeight="1">
      <c r="B99" s="112"/>
    </row>
    <row r="100" ht="14.25" customHeight="1">
      <c r="B100" s="112"/>
    </row>
    <row r="101" ht="14.25" customHeight="1">
      <c r="B101" s="112"/>
    </row>
    <row r="102" ht="14.25" customHeight="1">
      <c r="B102" s="112"/>
    </row>
    <row r="103" ht="14.25" customHeight="1">
      <c r="B103" s="112"/>
    </row>
    <row r="104" ht="14.25" customHeight="1">
      <c r="B104" s="112"/>
    </row>
    <row r="105" ht="14.25" customHeight="1">
      <c r="B105" s="112"/>
    </row>
    <row r="106" ht="14.25" customHeight="1">
      <c r="B106" s="112"/>
    </row>
    <row r="107" ht="14.25" customHeight="1">
      <c r="B107" s="112"/>
    </row>
    <row r="108" ht="14.25" customHeight="1">
      <c r="B108" s="112"/>
    </row>
    <row r="109" ht="14.25" customHeight="1">
      <c r="B109" s="112"/>
    </row>
    <row r="110" ht="14.25" customHeight="1">
      <c r="B110" s="112"/>
    </row>
    <row r="111" ht="14.25" customHeight="1">
      <c r="B111" s="112"/>
    </row>
    <row r="112" ht="14.25" customHeight="1">
      <c r="B112" s="112"/>
    </row>
    <row r="113" ht="14.25" customHeight="1">
      <c r="B113" s="112"/>
    </row>
    <row r="114" ht="14.25" customHeight="1">
      <c r="B114" s="112"/>
    </row>
    <row r="115" ht="14.25" customHeight="1">
      <c r="B115" s="112"/>
    </row>
    <row r="116" ht="14.25" customHeight="1">
      <c r="B116" s="112"/>
    </row>
    <row r="117" ht="14.25" customHeight="1">
      <c r="B117" s="112"/>
    </row>
    <row r="118" ht="14.25" customHeight="1">
      <c r="B118" s="112"/>
    </row>
    <row r="119" ht="14.25" customHeight="1">
      <c r="B119" s="112"/>
    </row>
    <row r="120" ht="14.25" customHeight="1">
      <c r="B120" s="112"/>
    </row>
    <row r="121" ht="14.25" customHeight="1">
      <c r="B121" s="112"/>
    </row>
    <row r="122" ht="14.25" customHeight="1">
      <c r="B122" s="112"/>
    </row>
    <row r="123" ht="14.25" customHeight="1">
      <c r="B123" s="112"/>
    </row>
    <row r="124" ht="14.25" customHeight="1">
      <c r="B124" s="112"/>
    </row>
    <row r="125" ht="14.25" customHeight="1">
      <c r="B125" s="112"/>
    </row>
    <row r="126" ht="14.25" customHeight="1">
      <c r="B126" s="112"/>
    </row>
    <row r="127" ht="14.25" customHeight="1">
      <c r="B127" s="112"/>
    </row>
    <row r="128" ht="14.25" customHeight="1">
      <c r="B128" s="112"/>
    </row>
    <row r="129" ht="14.25" customHeight="1">
      <c r="B129" s="112"/>
    </row>
    <row r="130" ht="14.25" customHeight="1">
      <c r="B130" s="112"/>
    </row>
    <row r="131" ht="14.25" customHeight="1">
      <c r="B131" s="112"/>
    </row>
    <row r="132" ht="14.25" customHeight="1">
      <c r="B132" s="112"/>
    </row>
    <row r="133" ht="14.25" customHeight="1">
      <c r="B133" s="112"/>
    </row>
    <row r="134" ht="14.25" customHeight="1">
      <c r="B134" s="112"/>
    </row>
    <row r="135" ht="14.25" customHeight="1">
      <c r="B135" s="112"/>
    </row>
    <row r="136" ht="14.25" customHeight="1">
      <c r="B136" s="112"/>
    </row>
    <row r="137" ht="14.25" customHeight="1">
      <c r="B137" s="112"/>
    </row>
    <row r="138" ht="14.25" customHeight="1">
      <c r="B138" s="112"/>
    </row>
    <row r="139" ht="14.25" customHeight="1">
      <c r="B139" s="112"/>
    </row>
    <row r="140" ht="14.25" customHeight="1">
      <c r="B140" s="112"/>
    </row>
    <row r="141" ht="14.25" customHeight="1">
      <c r="B141" s="112"/>
    </row>
    <row r="142" ht="14.25" customHeight="1">
      <c r="B142" s="112"/>
    </row>
    <row r="143" ht="14.25" customHeight="1">
      <c r="B143" s="112"/>
    </row>
    <row r="144" ht="14.25" customHeight="1">
      <c r="B144" s="112"/>
    </row>
    <row r="145" ht="14.25" customHeight="1">
      <c r="B145" s="112"/>
    </row>
    <row r="146" ht="14.25" customHeight="1">
      <c r="B146" s="112"/>
    </row>
    <row r="147" ht="14.25" customHeight="1">
      <c r="B147" s="112"/>
    </row>
    <row r="148" ht="14.25" customHeight="1">
      <c r="B148" s="112"/>
    </row>
    <row r="149" ht="14.25" customHeight="1">
      <c r="B149" s="112"/>
    </row>
    <row r="150" ht="14.25" customHeight="1">
      <c r="B150" s="112"/>
    </row>
    <row r="151" ht="14.25" customHeight="1">
      <c r="B151" s="112"/>
    </row>
    <row r="152" ht="14.25" customHeight="1">
      <c r="B152" s="112"/>
    </row>
    <row r="153" ht="14.25" customHeight="1">
      <c r="B153" s="112"/>
    </row>
    <row r="154" ht="14.25" customHeight="1">
      <c r="B154" s="112"/>
    </row>
    <row r="155" ht="14.25" customHeight="1">
      <c r="B155" s="112"/>
    </row>
    <row r="156" ht="14.25" customHeight="1">
      <c r="B156" s="112"/>
    </row>
    <row r="157" ht="14.25" customHeight="1">
      <c r="B157" s="112"/>
    </row>
    <row r="158" ht="14.25" customHeight="1">
      <c r="B158" s="112"/>
    </row>
    <row r="159" ht="14.25" customHeight="1">
      <c r="B159" s="112"/>
    </row>
    <row r="160" ht="14.25" customHeight="1">
      <c r="B160" s="112"/>
    </row>
    <row r="161" ht="14.25" customHeight="1">
      <c r="B161" s="112"/>
    </row>
    <row r="162" ht="14.25" customHeight="1">
      <c r="B162" s="112"/>
    </row>
    <row r="163" ht="14.25" customHeight="1">
      <c r="B163" s="112"/>
    </row>
    <row r="164" ht="14.25" customHeight="1">
      <c r="B164" s="112"/>
    </row>
    <row r="165" ht="14.25" customHeight="1">
      <c r="B165" s="112"/>
    </row>
    <row r="166" ht="14.25" customHeight="1">
      <c r="B166" s="112"/>
    </row>
    <row r="167" ht="14.25" customHeight="1">
      <c r="B167" s="112"/>
    </row>
    <row r="168" ht="14.25" customHeight="1">
      <c r="B168" s="112"/>
    </row>
    <row r="169" ht="14.25" customHeight="1">
      <c r="B169" s="112"/>
    </row>
    <row r="170" ht="14.25" customHeight="1">
      <c r="B170" s="112"/>
    </row>
    <row r="171" ht="14.25" customHeight="1">
      <c r="B171" s="112"/>
    </row>
    <row r="172" ht="14.25" customHeight="1">
      <c r="B172" s="112"/>
    </row>
    <row r="173" ht="14.25" customHeight="1">
      <c r="B173" s="112"/>
    </row>
    <row r="174" ht="14.25" customHeight="1">
      <c r="B174" s="112"/>
    </row>
    <row r="175" ht="14.25" customHeight="1">
      <c r="B175" s="112"/>
    </row>
    <row r="176" ht="14.25" customHeight="1">
      <c r="B176" s="112"/>
    </row>
    <row r="177" ht="14.25" customHeight="1">
      <c r="B177" s="112"/>
    </row>
    <row r="178" ht="14.25" customHeight="1">
      <c r="B178" s="112"/>
    </row>
    <row r="179" ht="14.25" customHeight="1">
      <c r="B179" s="112"/>
    </row>
    <row r="180" ht="14.25" customHeight="1">
      <c r="B180" s="112"/>
    </row>
    <row r="181" ht="14.25" customHeight="1">
      <c r="B181" s="112"/>
    </row>
    <row r="182" ht="14.25" customHeight="1">
      <c r="B182" s="112"/>
    </row>
    <row r="183" ht="14.25" customHeight="1">
      <c r="B183" s="112"/>
    </row>
    <row r="184" ht="14.25" customHeight="1">
      <c r="B184" s="112"/>
    </row>
    <row r="185" ht="14.25" customHeight="1">
      <c r="B185" s="112"/>
    </row>
    <row r="186" ht="14.25" customHeight="1">
      <c r="B186" s="112"/>
    </row>
    <row r="187" ht="14.25" customHeight="1">
      <c r="B187" s="112"/>
    </row>
    <row r="188" ht="14.25" customHeight="1">
      <c r="B188" s="112"/>
    </row>
    <row r="189" ht="14.25" customHeight="1">
      <c r="B189" s="112"/>
    </row>
    <row r="190" ht="14.25" customHeight="1">
      <c r="B190" s="112"/>
    </row>
    <row r="191" ht="14.25" customHeight="1">
      <c r="B191" s="112"/>
    </row>
    <row r="192" ht="14.25" customHeight="1">
      <c r="B192" s="112"/>
    </row>
    <row r="193" ht="14.25" customHeight="1">
      <c r="B193" s="112"/>
    </row>
    <row r="194" ht="14.25" customHeight="1">
      <c r="B194" s="112"/>
    </row>
    <row r="195" ht="14.25" customHeight="1">
      <c r="B195" s="112"/>
    </row>
    <row r="196" ht="14.25" customHeight="1">
      <c r="B196" s="112"/>
    </row>
    <row r="197" ht="14.25" customHeight="1">
      <c r="B197" s="112"/>
    </row>
    <row r="198" ht="14.25" customHeight="1">
      <c r="B198" s="112"/>
    </row>
    <row r="199" ht="14.25" customHeight="1">
      <c r="B199" s="112"/>
    </row>
    <row r="200" ht="14.25" customHeight="1">
      <c r="B200" s="112"/>
    </row>
    <row r="201" ht="14.25" customHeight="1">
      <c r="B201" s="112"/>
    </row>
    <row r="202" ht="14.25" customHeight="1">
      <c r="B202" s="112"/>
    </row>
    <row r="203" ht="14.25" customHeight="1">
      <c r="B203" s="112"/>
    </row>
    <row r="204" ht="14.25" customHeight="1">
      <c r="B204" s="112"/>
    </row>
    <row r="205" ht="14.25" customHeight="1">
      <c r="B205" s="112"/>
    </row>
    <row r="206" ht="14.25" customHeight="1">
      <c r="B206" s="112"/>
    </row>
    <row r="207" ht="14.25" customHeight="1">
      <c r="B207" s="112"/>
    </row>
    <row r="208" ht="14.25" customHeight="1">
      <c r="B208" s="112"/>
    </row>
    <row r="209" ht="14.25" customHeight="1">
      <c r="B209" s="112"/>
    </row>
    <row r="210" ht="14.25" customHeight="1">
      <c r="B210" s="112"/>
    </row>
    <row r="211" ht="14.25" customHeight="1">
      <c r="B211" s="112"/>
    </row>
    <row r="212" ht="14.25" customHeight="1">
      <c r="B212" s="112"/>
    </row>
    <row r="213" ht="14.25" customHeight="1">
      <c r="B213" s="112"/>
    </row>
    <row r="214" ht="14.25" customHeight="1">
      <c r="B214" s="112"/>
    </row>
    <row r="215" ht="14.25" customHeight="1">
      <c r="B215" s="112"/>
    </row>
    <row r="216" ht="14.25" customHeight="1">
      <c r="B216" s="112"/>
    </row>
    <row r="217" ht="14.25" customHeight="1">
      <c r="B217" s="112"/>
    </row>
    <row r="218" ht="14.25" customHeight="1">
      <c r="B218" s="112"/>
    </row>
    <row r="219" ht="14.25" customHeight="1">
      <c r="B219" s="112"/>
    </row>
    <row r="220" ht="14.25" customHeight="1">
      <c r="B220" s="112"/>
    </row>
    <row r="221" ht="14.25" customHeight="1">
      <c r="B221" s="112"/>
    </row>
    <row r="222" ht="14.25" customHeight="1">
      <c r="B222" s="112"/>
    </row>
    <row r="223" ht="14.25" customHeight="1">
      <c r="B223" s="112"/>
    </row>
    <row r="224" ht="14.25" customHeight="1">
      <c r="B224" s="112"/>
    </row>
    <row r="225" ht="14.25" customHeight="1">
      <c r="B225" s="112"/>
    </row>
    <row r="226" ht="14.25" customHeight="1">
      <c r="B226" s="112"/>
    </row>
    <row r="227" ht="14.25" customHeight="1">
      <c r="B227" s="112"/>
    </row>
    <row r="228" ht="14.25" customHeight="1">
      <c r="B228" s="112"/>
    </row>
    <row r="229" ht="14.25" customHeight="1">
      <c r="B229" s="112"/>
    </row>
    <row r="230" ht="14.25" customHeight="1">
      <c r="B230" s="112"/>
    </row>
    <row r="231" ht="14.25" customHeight="1">
      <c r="B231" s="112"/>
    </row>
    <row r="232" ht="14.25" customHeight="1">
      <c r="B232" s="112"/>
    </row>
    <row r="233" ht="14.25" customHeight="1">
      <c r="B233" s="112"/>
    </row>
    <row r="234" ht="14.25" customHeight="1">
      <c r="B234" s="112"/>
    </row>
    <row r="235" ht="14.25" customHeight="1">
      <c r="B235" s="112"/>
    </row>
    <row r="236" ht="14.25" customHeight="1">
      <c r="B236" s="112"/>
    </row>
    <row r="237" ht="14.25" customHeight="1">
      <c r="B237" s="112"/>
    </row>
    <row r="238" ht="14.25" customHeight="1">
      <c r="B238" s="112"/>
    </row>
    <row r="239" ht="14.25" customHeight="1">
      <c r="B239" s="112"/>
    </row>
    <row r="240" ht="14.25" customHeight="1">
      <c r="B240" s="112"/>
    </row>
    <row r="241" ht="14.25" customHeight="1">
      <c r="B241" s="112"/>
    </row>
    <row r="242" ht="14.25" customHeight="1">
      <c r="B242" s="112"/>
    </row>
    <row r="243" ht="14.25" customHeight="1">
      <c r="B243" s="112"/>
    </row>
    <row r="244" ht="14.25" customHeight="1">
      <c r="B244" s="112"/>
    </row>
    <row r="245" ht="14.25" customHeight="1">
      <c r="B245" s="112"/>
    </row>
    <row r="246" ht="14.25" customHeight="1">
      <c r="B246" s="112"/>
    </row>
    <row r="247" ht="14.25" customHeight="1">
      <c r="B247" s="112"/>
    </row>
    <row r="248" ht="14.25" customHeight="1">
      <c r="B248" s="112"/>
    </row>
    <row r="249" ht="14.25" customHeight="1">
      <c r="B249" s="112"/>
    </row>
    <row r="250" ht="14.25" customHeight="1">
      <c r="B250" s="112"/>
    </row>
    <row r="251" ht="14.25" customHeight="1">
      <c r="B251" s="112"/>
    </row>
    <row r="252" ht="14.25" customHeight="1">
      <c r="B252" s="112"/>
    </row>
    <row r="253" ht="14.25" customHeight="1">
      <c r="B253" s="112"/>
    </row>
    <row r="254" ht="14.25" customHeight="1">
      <c r="B254" s="112"/>
    </row>
    <row r="255" ht="14.25" customHeight="1">
      <c r="B255" s="112"/>
    </row>
    <row r="256" ht="14.25" customHeight="1">
      <c r="B256" s="112"/>
    </row>
    <row r="257" ht="14.25" customHeight="1">
      <c r="B257" s="112"/>
    </row>
    <row r="258" ht="14.25" customHeight="1">
      <c r="B258" s="112"/>
    </row>
    <row r="259" ht="14.25" customHeight="1">
      <c r="B259" s="112"/>
    </row>
    <row r="260" ht="14.25" customHeight="1">
      <c r="B260" s="112"/>
    </row>
    <row r="261" ht="14.25" customHeight="1">
      <c r="B261" s="112"/>
    </row>
    <row r="262" ht="14.25" customHeight="1">
      <c r="B262" s="112"/>
    </row>
    <row r="263" ht="14.25" customHeight="1">
      <c r="B263" s="112"/>
    </row>
    <row r="264" ht="14.25" customHeight="1">
      <c r="B264" s="112"/>
    </row>
    <row r="265" ht="14.25" customHeight="1">
      <c r="B265" s="112"/>
    </row>
    <row r="266" ht="14.25" customHeight="1">
      <c r="B266" s="112"/>
    </row>
    <row r="267" ht="14.25" customHeight="1">
      <c r="B267" s="112"/>
    </row>
    <row r="268" ht="14.25" customHeight="1">
      <c r="B268" s="112"/>
    </row>
    <row r="269" ht="14.25" customHeight="1">
      <c r="B269" s="112"/>
    </row>
    <row r="270" ht="14.25" customHeight="1">
      <c r="B270" s="112"/>
    </row>
    <row r="271" ht="14.25" customHeight="1">
      <c r="B271" s="112"/>
    </row>
    <row r="272" ht="14.25" customHeight="1">
      <c r="B272" s="112"/>
    </row>
    <row r="273" ht="14.25" customHeight="1">
      <c r="B273" s="112"/>
    </row>
    <row r="274" ht="14.25" customHeight="1">
      <c r="B274" s="112"/>
    </row>
    <row r="275" ht="14.25" customHeight="1">
      <c r="B275" s="112"/>
    </row>
    <row r="276" ht="14.25" customHeight="1">
      <c r="B276" s="112"/>
    </row>
    <row r="277" ht="14.25" customHeight="1">
      <c r="B277" s="112"/>
    </row>
    <row r="278" ht="14.25" customHeight="1">
      <c r="B278" s="112"/>
    </row>
    <row r="279" ht="14.25" customHeight="1">
      <c r="B279" s="112"/>
    </row>
    <row r="280" ht="14.25" customHeight="1">
      <c r="B280" s="112"/>
    </row>
    <row r="281" ht="14.25" customHeight="1">
      <c r="B281" s="112"/>
    </row>
    <row r="282" ht="14.25" customHeight="1">
      <c r="B282" s="112"/>
    </row>
    <row r="283" ht="14.25" customHeight="1">
      <c r="B283" s="112"/>
    </row>
    <row r="284" ht="14.25" customHeight="1">
      <c r="B284" s="112"/>
    </row>
    <row r="285" ht="14.25" customHeight="1">
      <c r="B285" s="112"/>
    </row>
    <row r="286" ht="14.25" customHeight="1">
      <c r="B286" s="112"/>
    </row>
    <row r="287" ht="14.25" customHeight="1">
      <c r="B287" s="112"/>
    </row>
    <row r="288" ht="14.25" customHeight="1">
      <c r="B288" s="112"/>
    </row>
    <row r="289" ht="14.25" customHeight="1">
      <c r="B289" s="112"/>
    </row>
    <row r="290" ht="14.25" customHeight="1">
      <c r="B290" s="112"/>
    </row>
    <row r="291" ht="14.25" customHeight="1">
      <c r="B291" s="112"/>
    </row>
    <row r="292" ht="14.25" customHeight="1">
      <c r="B292" s="112"/>
    </row>
    <row r="293" ht="14.25" customHeight="1">
      <c r="B293" s="112"/>
    </row>
    <row r="294" ht="14.25" customHeight="1">
      <c r="B294" s="112"/>
    </row>
    <row r="295" ht="14.25" customHeight="1">
      <c r="B295" s="112"/>
    </row>
    <row r="296" ht="14.25" customHeight="1">
      <c r="B296" s="112"/>
    </row>
    <row r="297" ht="14.25" customHeight="1">
      <c r="B297" s="112"/>
    </row>
    <row r="298" ht="14.25" customHeight="1">
      <c r="B298" s="112"/>
    </row>
    <row r="299" ht="14.25" customHeight="1">
      <c r="B299" s="112"/>
    </row>
    <row r="300" ht="14.25" customHeight="1">
      <c r="B300" s="112"/>
    </row>
    <row r="301" ht="14.25" customHeight="1">
      <c r="B301" s="112"/>
    </row>
    <row r="302" ht="14.25" customHeight="1">
      <c r="B302" s="112"/>
    </row>
    <row r="303" ht="14.25" customHeight="1">
      <c r="B303" s="112"/>
    </row>
    <row r="304" ht="14.25" customHeight="1">
      <c r="B304" s="112"/>
    </row>
    <row r="305" ht="14.25" customHeight="1">
      <c r="B305" s="112"/>
    </row>
    <row r="306" ht="14.25" customHeight="1">
      <c r="B306" s="112"/>
    </row>
    <row r="307" ht="14.25" customHeight="1">
      <c r="B307" s="112"/>
    </row>
    <row r="308" ht="14.25" customHeight="1">
      <c r="B308" s="112"/>
    </row>
    <row r="309" ht="14.25" customHeight="1">
      <c r="B309" s="112"/>
    </row>
    <row r="310" ht="14.25" customHeight="1">
      <c r="B310" s="112"/>
    </row>
    <row r="311" ht="14.25" customHeight="1">
      <c r="B311" s="112"/>
    </row>
    <row r="312" ht="14.25" customHeight="1">
      <c r="B312" s="112"/>
    </row>
    <row r="313" ht="14.25" customHeight="1">
      <c r="B313" s="112"/>
    </row>
    <row r="314" ht="14.25" customHeight="1">
      <c r="B314" s="112"/>
    </row>
    <row r="315" ht="14.25" customHeight="1">
      <c r="B315" s="112"/>
    </row>
    <row r="316" ht="14.25" customHeight="1">
      <c r="B316" s="112"/>
    </row>
    <row r="317" ht="14.25" customHeight="1">
      <c r="B317" s="112"/>
    </row>
    <row r="318" ht="14.25" customHeight="1">
      <c r="B318" s="112"/>
    </row>
    <row r="319" ht="14.25" customHeight="1">
      <c r="B319" s="112"/>
    </row>
    <row r="320" ht="14.25" customHeight="1">
      <c r="B320" s="112"/>
    </row>
    <row r="321" ht="14.25" customHeight="1">
      <c r="B321" s="112"/>
    </row>
    <row r="322" ht="14.25" customHeight="1">
      <c r="B322" s="112"/>
    </row>
    <row r="323" ht="14.25" customHeight="1">
      <c r="B323" s="112"/>
    </row>
    <row r="324" ht="14.25" customHeight="1">
      <c r="B324" s="112"/>
    </row>
    <row r="325" ht="14.25" customHeight="1">
      <c r="B325" s="112"/>
    </row>
    <row r="326" ht="14.25" customHeight="1">
      <c r="B326" s="112"/>
    </row>
    <row r="327" ht="14.25" customHeight="1">
      <c r="B327" s="112"/>
    </row>
    <row r="328" ht="14.25" customHeight="1">
      <c r="B328" s="112"/>
    </row>
    <row r="329" ht="14.25" customHeight="1">
      <c r="B329" s="112"/>
    </row>
    <row r="330" ht="14.25" customHeight="1">
      <c r="B330" s="112"/>
    </row>
    <row r="331" ht="14.25" customHeight="1">
      <c r="B331" s="112"/>
    </row>
    <row r="332" ht="14.25" customHeight="1">
      <c r="B332" s="112"/>
    </row>
    <row r="333" ht="14.25" customHeight="1">
      <c r="B333" s="112"/>
    </row>
    <row r="334" ht="14.25" customHeight="1">
      <c r="B334" s="112"/>
    </row>
    <row r="335" ht="14.25" customHeight="1">
      <c r="B335" s="112"/>
    </row>
    <row r="336" ht="14.25" customHeight="1">
      <c r="B336" s="112"/>
    </row>
    <row r="337" ht="14.25" customHeight="1">
      <c r="B337" s="112"/>
    </row>
    <row r="338" ht="14.25" customHeight="1">
      <c r="B338" s="112"/>
    </row>
    <row r="339" ht="14.25" customHeight="1">
      <c r="B339" s="112"/>
    </row>
    <row r="340" ht="14.25" customHeight="1">
      <c r="B340" s="112"/>
    </row>
    <row r="341" ht="14.25" customHeight="1">
      <c r="B341" s="112"/>
    </row>
    <row r="342" ht="14.25" customHeight="1">
      <c r="B342" s="112"/>
    </row>
    <row r="343" ht="14.25" customHeight="1">
      <c r="B343" s="112"/>
    </row>
    <row r="344" ht="14.25" customHeight="1">
      <c r="B344" s="112"/>
    </row>
    <row r="345" ht="14.25" customHeight="1">
      <c r="B345" s="112"/>
    </row>
    <row r="346" ht="14.25" customHeight="1">
      <c r="B346" s="112"/>
    </row>
    <row r="347" ht="14.25" customHeight="1">
      <c r="B347" s="112"/>
    </row>
    <row r="348" ht="14.25" customHeight="1">
      <c r="B348" s="112"/>
    </row>
    <row r="349" ht="14.25" customHeight="1">
      <c r="B349" s="112"/>
    </row>
    <row r="350" ht="14.25" customHeight="1">
      <c r="B350" s="112"/>
    </row>
    <row r="351" ht="14.25" customHeight="1">
      <c r="B351" s="112"/>
    </row>
    <row r="352" ht="14.25" customHeight="1">
      <c r="B352" s="112"/>
    </row>
    <row r="353" ht="14.25" customHeight="1">
      <c r="B353" s="112"/>
    </row>
    <row r="354" ht="14.25" customHeight="1">
      <c r="B354" s="112"/>
    </row>
    <row r="355" ht="14.25" customHeight="1">
      <c r="B355" s="112"/>
    </row>
    <row r="356" ht="14.25" customHeight="1">
      <c r="B356" s="112"/>
    </row>
    <row r="357" ht="14.25" customHeight="1">
      <c r="B357" s="112"/>
    </row>
    <row r="358" ht="14.25" customHeight="1">
      <c r="B358" s="112"/>
    </row>
    <row r="359" ht="14.25" customHeight="1">
      <c r="B359" s="112"/>
    </row>
    <row r="360" ht="14.25" customHeight="1">
      <c r="B360" s="112"/>
    </row>
    <row r="361" ht="14.25" customHeight="1">
      <c r="B361" s="112"/>
    </row>
    <row r="362" ht="14.25" customHeight="1">
      <c r="B362" s="112"/>
    </row>
    <row r="363" ht="14.25" customHeight="1">
      <c r="B363" s="112"/>
    </row>
    <row r="364" ht="14.25" customHeight="1">
      <c r="B364" s="112"/>
    </row>
    <row r="365" ht="14.25" customHeight="1">
      <c r="B365" s="112"/>
    </row>
    <row r="366" ht="14.25" customHeight="1">
      <c r="B366" s="112"/>
    </row>
    <row r="367" ht="14.25" customHeight="1">
      <c r="B367" s="112"/>
    </row>
    <row r="368" ht="14.25" customHeight="1">
      <c r="B368" s="112"/>
    </row>
    <row r="369" ht="14.25" customHeight="1">
      <c r="B369" s="112"/>
    </row>
    <row r="370" ht="14.25" customHeight="1">
      <c r="B370" s="112"/>
    </row>
    <row r="371" ht="14.25" customHeight="1">
      <c r="B371" s="112"/>
    </row>
    <row r="372" ht="14.25" customHeight="1">
      <c r="B372" s="112"/>
    </row>
    <row r="373" ht="14.25" customHeight="1">
      <c r="B373" s="112"/>
    </row>
    <row r="374" ht="14.25" customHeight="1">
      <c r="B374" s="112"/>
    </row>
    <row r="375" ht="14.25" customHeight="1">
      <c r="B375" s="112"/>
    </row>
    <row r="376" ht="14.25" customHeight="1">
      <c r="B376" s="112"/>
    </row>
    <row r="377" ht="14.25" customHeight="1">
      <c r="B377" s="112"/>
    </row>
    <row r="378" ht="14.25" customHeight="1">
      <c r="B378" s="112"/>
    </row>
    <row r="379" ht="14.25" customHeight="1">
      <c r="B379" s="112"/>
    </row>
    <row r="380" ht="14.25" customHeight="1">
      <c r="B380" s="112"/>
    </row>
    <row r="381" ht="14.25" customHeight="1">
      <c r="B381" s="112"/>
    </row>
    <row r="382" ht="14.25" customHeight="1">
      <c r="B382" s="112"/>
    </row>
    <row r="383" ht="14.25" customHeight="1">
      <c r="B383" s="112"/>
    </row>
    <row r="384" ht="14.25" customHeight="1">
      <c r="B384" s="112"/>
    </row>
    <row r="385" ht="14.25" customHeight="1">
      <c r="B385" s="112"/>
    </row>
    <row r="386" ht="14.25" customHeight="1">
      <c r="B386" s="112"/>
    </row>
    <row r="387" ht="14.25" customHeight="1">
      <c r="B387" s="112"/>
    </row>
    <row r="388" ht="14.25" customHeight="1">
      <c r="B388" s="112"/>
    </row>
    <row r="389" ht="14.25" customHeight="1">
      <c r="B389" s="112"/>
    </row>
    <row r="390" ht="14.25" customHeight="1">
      <c r="B390" s="112"/>
    </row>
    <row r="391" ht="14.25" customHeight="1">
      <c r="B391" s="112"/>
    </row>
    <row r="392" ht="14.25" customHeight="1">
      <c r="B392" s="112"/>
    </row>
    <row r="393" ht="14.25" customHeight="1">
      <c r="B393" s="112"/>
    </row>
    <row r="394" ht="14.25" customHeight="1">
      <c r="B394" s="112"/>
    </row>
    <row r="395" ht="14.25" customHeight="1">
      <c r="B395" s="112"/>
    </row>
    <row r="396" ht="14.25" customHeight="1">
      <c r="B396" s="112"/>
    </row>
    <row r="397" ht="14.25" customHeight="1">
      <c r="B397" s="112"/>
    </row>
    <row r="398" ht="14.25" customHeight="1">
      <c r="B398" s="112"/>
    </row>
    <row r="399" ht="14.25" customHeight="1">
      <c r="B399" s="112"/>
    </row>
    <row r="400" ht="14.25" customHeight="1">
      <c r="B400" s="112"/>
    </row>
    <row r="401" ht="14.25" customHeight="1">
      <c r="B401" s="112"/>
    </row>
    <row r="402" ht="14.25" customHeight="1">
      <c r="B402" s="112"/>
    </row>
    <row r="403" ht="14.25" customHeight="1">
      <c r="B403" s="112"/>
    </row>
    <row r="404" ht="14.25" customHeight="1">
      <c r="B404" s="112"/>
    </row>
    <row r="405" ht="14.25" customHeight="1">
      <c r="B405" s="112"/>
    </row>
    <row r="406" ht="14.25" customHeight="1">
      <c r="B406" s="112"/>
    </row>
    <row r="407" ht="14.25" customHeight="1">
      <c r="B407" s="112"/>
    </row>
    <row r="408" ht="14.25" customHeight="1">
      <c r="B408" s="112"/>
    </row>
    <row r="409" ht="14.25" customHeight="1">
      <c r="B409" s="112"/>
    </row>
    <row r="410" ht="14.25" customHeight="1">
      <c r="B410" s="112"/>
    </row>
    <row r="411" ht="14.25" customHeight="1">
      <c r="B411" s="112"/>
    </row>
    <row r="412" ht="14.25" customHeight="1">
      <c r="B412" s="112"/>
    </row>
    <row r="413" ht="14.25" customHeight="1">
      <c r="B413" s="112"/>
    </row>
    <row r="414" ht="14.25" customHeight="1">
      <c r="B414" s="112"/>
    </row>
    <row r="415" ht="14.25" customHeight="1">
      <c r="B415" s="112"/>
    </row>
    <row r="416" ht="14.25" customHeight="1">
      <c r="B416" s="112"/>
    </row>
    <row r="417" ht="14.25" customHeight="1">
      <c r="B417" s="112"/>
    </row>
    <row r="418" ht="14.25" customHeight="1">
      <c r="B418" s="112"/>
    </row>
    <row r="419" ht="14.25" customHeight="1">
      <c r="B419" s="112"/>
    </row>
    <row r="420" ht="14.25" customHeight="1">
      <c r="B420" s="112"/>
    </row>
    <row r="421" ht="14.25" customHeight="1">
      <c r="B421" s="112"/>
    </row>
    <row r="422" ht="14.25" customHeight="1">
      <c r="B422" s="112"/>
    </row>
    <row r="423" ht="14.25" customHeight="1">
      <c r="B423" s="112"/>
    </row>
    <row r="424" ht="14.25" customHeight="1">
      <c r="B424" s="112"/>
    </row>
    <row r="425" ht="14.25" customHeight="1">
      <c r="B425" s="112"/>
    </row>
    <row r="426" ht="14.25" customHeight="1">
      <c r="B426" s="112"/>
    </row>
    <row r="427" ht="14.25" customHeight="1">
      <c r="B427" s="112"/>
    </row>
    <row r="428" ht="14.25" customHeight="1">
      <c r="B428" s="112"/>
    </row>
    <row r="429" ht="14.25" customHeight="1">
      <c r="B429" s="112"/>
    </row>
    <row r="430" ht="14.25" customHeight="1">
      <c r="B430" s="112"/>
    </row>
    <row r="431" ht="14.25" customHeight="1">
      <c r="B431" s="112"/>
    </row>
    <row r="432" ht="14.25" customHeight="1">
      <c r="B432" s="112"/>
    </row>
    <row r="433" ht="14.25" customHeight="1">
      <c r="B433" s="112"/>
    </row>
    <row r="434" ht="14.25" customHeight="1">
      <c r="B434" s="112"/>
    </row>
    <row r="435" ht="14.25" customHeight="1">
      <c r="B435" s="112"/>
    </row>
    <row r="436" ht="14.25" customHeight="1">
      <c r="B436" s="112"/>
    </row>
    <row r="437" ht="14.25" customHeight="1">
      <c r="B437" s="112"/>
    </row>
    <row r="438" ht="14.25" customHeight="1">
      <c r="B438" s="112"/>
    </row>
    <row r="439" ht="14.25" customHeight="1">
      <c r="B439" s="112"/>
    </row>
    <row r="440" ht="14.25" customHeight="1">
      <c r="B440" s="112"/>
    </row>
    <row r="441" ht="14.25" customHeight="1">
      <c r="B441" s="112"/>
    </row>
    <row r="442" ht="14.25" customHeight="1">
      <c r="B442" s="112"/>
    </row>
    <row r="443" ht="14.25" customHeight="1">
      <c r="B443" s="112"/>
    </row>
    <row r="444" ht="14.25" customHeight="1">
      <c r="B444" s="112"/>
    </row>
    <row r="445" ht="14.25" customHeight="1">
      <c r="B445" s="112"/>
    </row>
    <row r="446" ht="14.25" customHeight="1">
      <c r="B446" s="112"/>
    </row>
    <row r="447" ht="14.25" customHeight="1">
      <c r="B447" s="112"/>
    </row>
    <row r="448" ht="14.25" customHeight="1">
      <c r="B448" s="112"/>
    </row>
    <row r="449" ht="14.25" customHeight="1">
      <c r="B449" s="112"/>
    </row>
    <row r="450" ht="14.25" customHeight="1">
      <c r="B450" s="112"/>
    </row>
    <row r="451" ht="14.25" customHeight="1">
      <c r="B451" s="112"/>
    </row>
    <row r="452" ht="14.25" customHeight="1">
      <c r="B452" s="112"/>
    </row>
    <row r="453" ht="14.25" customHeight="1">
      <c r="B453" s="112"/>
    </row>
    <row r="454" ht="14.25" customHeight="1">
      <c r="B454" s="112"/>
    </row>
    <row r="455" ht="14.25" customHeight="1">
      <c r="B455" s="112"/>
    </row>
    <row r="456" ht="14.25" customHeight="1">
      <c r="B456" s="112"/>
    </row>
    <row r="457" ht="14.25" customHeight="1">
      <c r="B457" s="112"/>
    </row>
    <row r="458" ht="14.25" customHeight="1">
      <c r="B458" s="112"/>
    </row>
    <row r="459" ht="14.25" customHeight="1">
      <c r="B459" s="112"/>
    </row>
    <row r="460" ht="14.25" customHeight="1">
      <c r="B460" s="112"/>
    </row>
    <row r="461" ht="14.25" customHeight="1">
      <c r="B461" s="112"/>
    </row>
    <row r="462" ht="14.25" customHeight="1">
      <c r="B462" s="112"/>
    </row>
    <row r="463" ht="14.25" customHeight="1">
      <c r="B463" s="112"/>
    </row>
    <row r="464" ht="14.25" customHeight="1">
      <c r="B464" s="112"/>
    </row>
    <row r="465" ht="14.25" customHeight="1">
      <c r="B465" s="112"/>
    </row>
    <row r="466" ht="14.25" customHeight="1">
      <c r="B466" s="112"/>
    </row>
    <row r="467" ht="14.25" customHeight="1">
      <c r="B467" s="112"/>
    </row>
    <row r="468" ht="14.25" customHeight="1">
      <c r="B468" s="112"/>
    </row>
    <row r="469" ht="14.25" customHeight="1">
      <c r="B469" s="112"/>
    </row>
    <row r="470" ht="14.25" customHeight="1">
      <c r="B470" s="112"/>
    </row>
    <row r="471" ht="14.25" customHeight="1">
      <c r="B471" s="112"/>
    </row>
    <row r="472" ht="14.25" customHeight="1">
      <c r="B472" s="112"/>
    </row>
    <row r="473" ht="14.25" customHeight="1">
      <c r="B473" s="112"/>
    </row>
    <row r="474" ht="14.25" customHeight="1">
      <c r="B474" s="112"/>
    </row>
    <row r="475" ht="14.25" customHeight="1">
      <c r="B475" s="112"/>
    </row>
    <row r="476" ht="14.25" customHeight="1">
      <c r="B476" s="112"/>
    </row>
    <row r="477" ht="14.25" customHeight="1">
      <c r="B477" s="112"/>
    </row>
    <row r="478" ht="14.25" customHeight="1">
      <c r="B478" s="112"/>
    </row>
    <row r="479" ht="14.25" customHeight="1">
      <c r="B479" s="112"/>
    </row>
    <row r="480" ht="14.25" customHeight="1">
      <c r="B480" s="112"/>
    </row>
    <row r="481" ht="14.25" customHeight="1">
      <c r="B481" s="112"/>
    </row>
    <row r="482" ht="14.25" customHeight="1">
      <c r="B482" s="112"/>
    </row>
    <row r="483" ht="14.25" customHeight="1">
      <c r="B483" s="112"/>
    </row>
    <row r="484" ht="14.25" customHeight="1">
      <c r="B484" s="112"/>
    </row>
    <row r="485" ht="14.25" customHeight="1">
      <c r="B485" s="112"/>
    </row>
    <row r="486" ht="14.25" customHeight="1">
      <c r="B486" s="112"/>
    </row>
    <row r="487" ht="14.25" customHeight="1">
      <c r="B487" s="112"/>
    </row>
    <row r="488" ht="14.25" customHeight="1">
      <c r="B488" s="112"/>
    </row>
    <row r="489" ht="14.25" customHeight="1">
      <c r="B489" s="112"/>
    </row>
    <row r="490" ht="14.25" customHeight="1">
      <c r="B490" s="112"/>
    </row>
    <row r="491" ht="14.25" customHeight="1">
      <c r="B491" s="112"/>
    </row>
    <row r="492" ht="14.25" customHeight="1">
      <c r="B492" s="112"/>
    </row>
    <row r="493" ht="14.25" customHeight="1">
      <c r="B493" s="112"/>
    </row>
    <row r="494" ht="14.25" customHeight="1">
      <c r="B494" s="112"/>
    </row>
    <row r="495" ht="14.25" customHeight="1">
      <c r="B495" s="112"/>
    </row>
    <row r="496" ht="14.25" customHeight="1">
      <c r="B496" s="112"/>
    </row>
    <row r="497" ht="14.25" customHeight="1">
      <c r="B497" s="112"/>
    </row>
    <row r="498" ht="14.25" customHeight="1">
      <c r="B498" s="112"/>
    </row>
    <row r="499" ht="14.25" customHeight="1">
      <c r="B499" s="112"/>
    </row>
    <row r="500" ht="14.25" customHeight="1">
      <c r="B500" s="112"/>
    </row>
    <row r="501" ht="14.25" customHeight="1">
      <c r="B501" s="112"/>
    </row>
    <row r="502" ht="14.25" customHeight="1">
      <c r="B502" s="112"/>
    </row>
    <row r="503" ht="14.25" customHeight="1">
      <c r="B503" s="112"/>
    </row>
    <row r="504" ht="14.25" customHeight="1">
      <c r="B504" s="112"/>
    </row>
    <row r="505" ht="14.25" customHeight="1">
      <c r="B505" s="112"/>
    </row>
    <row r="506" ht="14.25" customHeight="1">
      <c r="B506" s="112"/>
    </row>
    <row r="507" ht="14.25" customHeight="1">
      <c r="B507" s="112"/>
    </row>
    <row r="508" ht="14.25" customHeight="1">
      <c r="B508" s="112"/>
    </row>
    <row r="509" ht="14.25" customHeight="1">
      <c r="B509" s="112"/>
    </row>
    <row r="510" ht="14.25" customHeight="1">
      <c r="B510" s="112"/>
    </row>
    <row r="511" ht="14.25" customHeight="1">
      <c r="B511" s="112"/>
    </row>
    <row r="512" ht="14.25" customHeight="1">
      <c r="B512" s="112"/>
    </row>
    <row r="513" ht="14.25" customHeight="1">
      <c r="B513" s="112"/>
    </row>
    <row r="514" ht="14.25" customHeight="1">
      <c r="B514" s="112"/>
    </row>
    <row r="515" ht="14.25" customHeight="1">
      <c r="B515" s="112"/>
    </row>
    <row r="516" ht="14.25" customHeight="1">
      <c r="B516" s="112"/>
    </row>
    <row r="517" ht="14.25" customHeight="1">
      <c r="B517" s="112"/>
    </row>
    <row r="518" ht="14.25" customHeight="1">
      <c r="B518" s="112"/>
    </row>
    <row r="519" ht="14.25" customHeight="1">
      <c r="B519" s="112"/>
    </row>
    <row r="520" ht="14.25" customHeight="1">
      <c r="B520" s="112"/>
    </row>
    <row r="521" ht="14.25" customHeight="1">
      <c r="B521" s="112"/>
    </row>
    <row r="522" ht="14.25" customHeight="1">
      <c r="B522" s="112"/>
    </row>
    <row r="523" ht="14.25" customHeight="1">
      <c r="B523" s="112"/>
    </row>
    <row r="524" ht="14.25" customHeight="1">
      <c r="B524" s="112"/>
    </row>
    <row r="525" ht="14.25" customHeight="1">
      <c r="B525" s="112"/>
    </row>
    <row r="526" ht="14.25" customHeight="1">
      <c r="B526" s="112"/>
    </row>
    <row r="527" ht="14.25" customHeight="1">
      <c r="B527" s="112"/>
    </row>
    <row r="528" ht="14.25" customHeight="1">
      <c r="B528" s="112"/>
    </row>
    <row r="529" ht="14.25" customHeight="1">
      <c r="B529" s="112"/>
    </row>
    <row r="530" ht="14.25" customHeight="1">
      <c r="B530" s="112"/>
    </row>
    <row r="531" ht="14.25" customHeight="1">
      <c r="B531" s="112"/>
    </row>
    <row r="532" ht="14.25" customHeight="1">
      <c r="B532" s="112"/>
    </row>
    <row r="533" ht="14.25" customHeight="1">
      <c r="B533" s="112"/>
    </row>
    <row r="534" ht="14.25" customHeight="1">
      <c r="B534" s="112"/>
    </row>
    <row r="535" ht="14.25" customHeight="1">
      <c r="B535" s="112"/>
    </row>
    <row r="536" ht="14.25" customHeight="1">
      <c r="B536" s="112"/>
    </row>
    <row r="537" ht="14.25" customHeight="1">
      <c r="B537" s="112"/>
    </row>
    <row r="538" ht="14.25" customHeight="1">
      <c r="B538" s="112"/>
    </row>
    <row r="539" ht="14.25" customHeight="1">
      <c r="B539" s="112"/>
    </row>
    <row r="540" ht="14.25" customHeight="1">
      <c r="B540" s="112"/>
    </row>
    <row r="541" ht="14.25" customHeight="1">
      <c r="B541" s="112"/>
    </row>
    <row r="542" ht="14.25" customHeight="1">
      <c r="B542" s="112"/>
    </row>
    <row r="543" ht="14.25" customHeight="1">
      <c r="B543" s="112"/>
    </row>
    <row r="544" ht="14.25" customHeight="1">
      <c r="B544" s="112"/>
    </row>
    <row r="545" ht="14.25" customHeight="1">
      <c r="B545" s="112"/>
    </row>
    <row r="546" ht="14.25" customHeight="1">
      <c r="B546" s="112"/>
    </row>
    <row r="547" ht="14.25" customHeight="1">
      <c r="B547" s="112"/>
    </row>
    <row r="548" ht="14.25" customHeight="1">
      <c r="B548" s="112"/>
    </row>
    <row r="549" ht="14.25" customHeight="1">
      <c r="B549" s="112"/>
    </row>
    <row r="550" ht="14.25" customHeight="1">
      <c r="B550" s="112"/>
    </row>
    <row r="551" ht="14.25" customHeight="1">
      <c r="B551" s="112"/>
    </row>
    <row r="552" ht="14.25" customHeight="1">
      <c r="B552" s="112"/>
    </row>
    <row r="553" ht="14.25" customHeight="1">
      <c r="B553" s="112"/>
    </row>
    <row r="554" ht="14.25" customHeight="1">
      <c r="B554" s="112"/>
    </row>
    <row r="555" ht="14.25" customHeight="1">
      <c r="B555" s="112"/>
    </row>
    <row r="556" ht="14.25" customHeight="1">
      <c r="B556" s="112"/>
    </row>
    <row r="557" ht="14.25" customHeight="1">
      <c r="B557" s="112"/>
    </row>
    <row r="558" ht="14.25" customHeight="1">
      <c r="B558" s="112"/>
    </row>
    <row r="559" ht="14.25" customHeight="1">
      <c r="B559" s="112"/>
    </row>
    <row r="560" ht="14.25" customHeight="1">
      <c r="B560" s="112"/>
    </row>
    <row r="561" ht="14.25" customHeight="1">
      <c r="B561" s="112"/>
    </row>
    <row r="562" ht="14.25" customHeight="1">
      <c r="B562" s="112"/>
    </row>
    <row r="563" ht="14.25" customHeight="1">
      <c r="B563" s="112"/>
    </row>
    <row r="564" ht="14.25" customHeight="1">
      <c r="B564" s="112"/>
    </row>
    <row r="565" ht="14.25" customHeight="1">
      <c r="B565" s="112"/>
    </row>
    <row r="566" ht="14.25" customHeight="1">
      <c r="B566" s="112"/>
    </row>
    <row r="567" ht="14.25" customHeight="1">
      <c r="B567" s="112"/>
    </row>
    <row r="568" ht="14.25" customHeight="1">
      <c r="B568" s="112"/>
    </row>
    <row r="569" ht="14.25" customHeight="1">
      <c r="B569" s="112"/>
    </row>
    <row r="570" ht="14.25" customHeight="1">
      <c r="B570" s="112"/>
    </row>
    <row r="571" ht="14.25" customHeight="1">
      <c r="B571" s="112"/>
    </row>
    <row r="572" ht="14.25" customHeight="1">
      <c r="B572" s="112"/>
    </row>
    <row r="573" ht="14.25" customHeight="1">
      <c r="B573" s="112"/>
    </row>
    <row r="574" ht="14.25" customHeight="1">
      <c r="B574" s="112"/>
    </row>
    <row r="575" ht="14.25" customHeight="1">
      <c r="B575" s="112"/>
    </row>
    <row r="576" ht="14.25" customHeight="1">
      <c r="B576" s="112"/>
    </row>
    <row r="577" ht="14.25" customHeight="1">
      <c r="B577" s="112"/>
    </row>
    <row r="578" ht="14.25" customHeight="1">
      <c r="B578" s="112"/>
    </row>
    <row r="579" ht="14.25" customHeight="1">
      <c r="B579" s="112"/>
    </row>
    <row r="580" ht="14.25" customHeight="1">
      <c r="B580" s="112"/>
    </row>
    <row r="581" ht="14.25" customHeight="1">
      <c r="B581" s="112"/>
    </row>
    <row r="582" ht="14.25" customHeight="1">
      <c r="B582" s="112"/>
    </row>
    <row r="583" ht="14.25" customHeight="1">
      <c r="B583" s="112"/>
    </row>
    <row r="584" ht="14.25" customHeight="1">
      <c r="B584" s="112"/>
    </row>
    <row r="585" ht="14.25" customHeight="1">
      <c r="B585" s="112"/>
    </row>
    <row r="586" ht="14.25" customHeight="1">
      <c r="B586" s="112"/>
    </row>
    <row r="587" ht="14.25" customHeight="1">
      <c r="B587" s="112"/>
    </row>
    <row r="588" ht="14.25" customHeight="1">
      <c r="B588" s="112"/>
    </row>
    <row r="589" ht="14.25" customHeight="1">
      <c r="B589" s="112"/>
    </row>
    <row r="590" ht="14.25" customHeight="1">
      <c r="B590" s="112"/>
    </row>
    <row r="591" ht="14.25" customHeight="1">
      <c r="B591" s="112"/>
    </row>
    <row r="592" ht="14.25" customHeight="1">
      <c r="B592" s="112"/>
    </row>
    <row r="593" ht="14.25" customHeight="1">
      <c r="B593" s="112"/>
    </row>
    <row r="594" ht="14.25" customHeight="1">
      <c r="B594" s="112"/>
    </row>
    <row r="595" ht="14.25" customHeight="1">
      <c r="B595" s="112"/>
    </row>
    <row r="596" ht="14.25" customHeight="1">
      <c r="B596" s="112"/>
    </row>
    <row r="597" ht="14.25" customHeight="1">
      <c r="B597" s="112"/>
    </row>
    <row r="598" ht="14.25" customHeight="1">
      <c r="B598" s="112"/>
    </row>
    <row r="599" ht="14.25" customHeight="1">
      <c r="B599" s="112"/>
    </row>
    <row r="600" ht="14.25" customHeight="1">
      <c r="B600" s="112"/>
    </row>
    <row r="601" ht="14.25" customHeight="1">
      <c r="B601" s="112"/>
    </row>
    <row r="602" ht="14.25" customHeight="1">
      <c r="B602" s="112"/>
    </row>
    <row r="603" ht="14.25" customHeight="1">
      <c r="B603" s="112"/>
    </row>
    <row r="604" ht="14.25" customHeight="1">
      <c r="B604" s="112"/>
    </row>
    <row r="605" ht="14.25" customHeight="1">
      <c r="B605" s="112"/>
    </row>
    <row r="606" ht="14.25" customHeight="1">
      <c r="B606" s="112"/>
    </row>
    <row r="607" ht="14.25" customHeight="1">
      <c r="B607" s="112"/>
    </row>
    <row r="608" ht="14.25" customHeight="1">
      <c r="B608" s="112"/>
    </row>
    <row r="609" ht="14.25" customHeight="1">
      <c r="B609" s="112"/>
    </row>
    <row r="610" ht="14.25" customHeight="1">
      <c r="B610" s="112"/>
    </row>
    <row r="611" ht="14.25" customHeight="1">
      <c r="B611" s="112"/>
    </row>
    <row r="612" ht="14.25" customHeight="1">
      <c r="B612" s="112"/>
    </row>
    <row r="613" ht="14.25" customHeight="1">
      <c r="B613" s="112"/>
    </row>
    <row r="614" ht="14.25" customHeight="1">
      <c r="B614" s="112"/>
    </row>
    <row r="615" ht="14.25" customHeight="1">
      <c r="B615" s="112"/>
    </row>
    <row r="616" ht="14.25" customHeight="1">
      <c r="B616" s="112"/>
    </row>
    <row r="617" ht="14.25" customHeight="1">
      <c r="B617" s="112"/>
    </row>
    <row r="618" ht="14.25" customHeight="1">
      <c r="B618" s="112"/>
    </row>
    <row r="619" ht="14.25" customHeight="1">
      <c r="B619" s="112"/>
    </row>
    <row r="620" ht="14.25" customHeight="1">
      <c r="B620" s="112"/>
    </row>
    <row r="621" ht="14.25" customHeight="1">
      <c r="B621" s="112"/>
    </row>
    <row r="622" ht="14.25" customHeight="1">
      <c r="B622" s="112"/>
    </row>
    <row r="623" ht="14.25" customHeight="1">
      <c r="B623" s="112"/>
    </row>
    <row r="624" ht="14.25" customHeight="1">
      <c r="B624" s="112"/>
    </row>
    <row r="625" ht="14.25" customHeight="1">
      <c r="B625" s="112"/>
    </row>
    <row r="626" ht="14.25" customHeight="1">
      <c r="B626" s="112"/>
    </row>
    <row r="627" ht="14.25" customHeight="1">
      <c r="B627" s="112"/>
    </row>
    <row r="628" ht="14.25" customHeight="1">
      <c r="B628" s="112"/>
    </row>
    <row r="629" ht="14.25" customHeight="1">
      <c r="B629" s="112"/>
    </row>
    <row r="630" ht="14.25" customHeight="1">
      <c r="B630" s="112"/>
    </row>
    <row r="631" ht="14.25" customHeight="1">
      <c r="B631" s="112"/>
    </row>
    <row r="632" ht="14.25" customHeight="1">
      <c r="B632" s="112"/>
    </row>
    <row r="633" ht="14.25" customHeight="1">
      <c r="B633" s="112"/>
    </row>
    <row r="634" ht="14.25" customHeight="1">
      <c r="B634" s="112"/>
    </row>
    <row r="635" ht="14.25" customHeight="1">
      <c r="B635" s="112"/>
    </row>
    <row r="636" ht="14.25" customHeight="1">
      <c r="B636" s="112"/>
    </row>
    <row r="637" ht="14.25" customHeight="1">
      <c r="B637" s="112"/>
    </row>
    <row r="638" ht="14.25" customHeight="1">
      <c r="B638" s="112"/>
    </row>
    <row r="639" ht="14.25" customHeight="1">
      <c r="B639" s="112"/>
    </row>
    <row r="640" ht="14.25" customHeight="1">
      <c r="B640" s="112"/>
    </row>
    <row r="641" ht="14.25" customHeight="1">
      <c r="B641" s="112"/>
    </row>
    <row r="642" ht="14.25" customHeight="1">
      <c r="B642" s="112"/>
    </row>
    <row r="643" ht="14.25" customHeight="1">
      <c r="B643" s="112"/>
    </row>
    <row r="644" ht="14.25" customHeight="1">
      <c r="B644" s="112"/>
    </row>
    <row r="645" ht="14.25" customHeight="1">
      <c r="B645" s="112"/>
    </row>
    <row r="646" ht="14.25" customHeight="1">
      <c r="B646" s="112"/>
    </row>
    <row r="647" ht="14.25" customHeight="1">
      <c r="B647" s="112"/>
    </row>
    <row r="648" ht="14.25" customHeight="1">
      <c r="B648" s="112"/>
    </row>
    <row r="649" ht="14.25" customHeight="1">
      <c r="B649" s="112"/>
    </row>
    <row r="650" ht="14.25" customHeight="1">
      <c r="B650" s="112"/>
    </row>
    <row r="651" ht="14.25" customHeight="1">
      <c r="B651" s="112"/>
    </row>
    <row r="652" ht="14.25" customHeight="1">
      <c r="B652" s="112"/>
    </row>
    <row r="653" ht="14.25" customHeight="1">
      <c r="B653" s="112"/>
    </row>
    <row r="654" ht="14.25" customHeight="1">
      <c r="B654" s="112"/>
    </row>
    <row r="655" ht="14.25" customHeight="1">
      <c r="B655" s="112"/>
    </row>
    <row r="656" ht="14.25" customHeight="1">
      <c r="B656" s="112"/>
    </row>
    <row r="657" ht="14.25" customHeight="1">
      <c r="B657" s="112"/>
    </row>
    <row r="658" ht="14.25" customHeight="1">
      <c r="B658" s="112"/>
    </row>
    <row r="659" ht="14.25" customHeight="1">
      <c r="B659" s="112"/>
    </row>
    <row r="660" ht="14.25" customHeight="1">
      <c r="B660" s="112"/>
    </row>
    <row r="661" ht="14.25" customHeight="1">
      <c r="B661" s="112"/>
    </row>
    <row r="662" ht="14.25" customHeight="1">
      <c r="B662" s="112"/>
    </row>
    <row r="663" ht="14.25" customHeight="1">
      <c r="B663" s="112"/>
    </row>
    <row r="664" ht="14.25" customHeight="1">
      <c r="B664" s="112"/>
    </row>
    <row r="665" ht="14.25" customHeight="1">
      <c r="B665" s="112"/>
    </row>
    <row r="666" ht="14.25" customHeight="1">
      <c r="B666" s="112"/>
    </row>
    <row r="667" ht="14.25" customHeight="1">
      <c r="B667" s="112"/>
    </row>
    <row r="668" ht="14.25" customHeight="1">
      <c r="B668" s="112"/>
    </row>
    <row r="669" ht="14.25" customHeight="1">
      <c r="B669" s="112"/>
    </row>
    <row r="670" ht="14.25" customHeight="1">
      <c r="B670" s="112"/>
    </row>
    <row r="671" ht="14.25" customHeight="1">
      <c r="B671" s="112"/>
    </row>
    <row r="672" ht="14.25" customHeight="1">
      <c r="B672" s="112"/>
    </row>
    <row r="673" ht="14.25" customHeight="1">
      <c r="B673" s="112"/>
    </row>
    <row r="674" ht="14.25" customHeight="1">
      <c r="B674" s="112"/>
    </row>
    <row r="675" ht="14.25" customHeight="1">
      <c r="B675" s="112"/>
    </row>
    <row r="676" ht="14.25" customHeight="1">
      <c r="B676" s="112"/>
    </row>
    <row r="677" ht="14.25" customHeight="1">
      <c r="B677" s="112"/>
    </row>
    <row r="678" ht="14.25" customHeight="1">
      <c r="B678" s="112"/>
    </row>
    <row r="679" ht="14.25" customHeight="1">
      <c r="B679" s="112"/>
    </row>
    <row r="680" ht="14.25" customHeight="1">
      <c r="B680" s="112"/>
    </row>
    <row r="681" ht="14.25" customHeight="1">
      <c r="B681" s="112"/>
    </row>
    <row r="682" ht="14.25" customHeight="1">
      <c r="B682" s="112"/>
    </row>
    <row r="683" ht="14.25" customHeight="1">
      <c r="B683" s="112"/>
    </row>
    <row r="684" ht="14.25" customHeight="1">
      <c r="B684" s="112"/>
    </row>
    <row r="685" ht="14.25" customHeight="1">
      <c r="B685" s="112"/>
    </row>
    <row r="686" ht="14.25" customHeight="1">
      <c r="B686" s="112"/>
    </row>
    <row r="687" ht="14.25" customHeight="1">
      <c r="B687" s="112"/>
    </row>
    <row r="688" ht="14.25" customHeight="1">
      <c r="B688" s="112"/>
    </row>
    <row r="689" ht="14.25" customHeight="1">
      <c r="B689" s="112"/>
    </row>
    <row r="690" ht="14.25" customHeight="1">
      <c r="B690" s="112"/>
    </row>
    <row r="691" ht="14.25" customHeight="1">
      <c r="B691" s="112"/>
    </row>
    <row r="692" ht="14.25" customHeight="1">
      <c r="B692" s="112"/>
    </row>
    <row r="693" ht="14.25" customHeight="1">
      <c r="B693" s="112"/>
    </row>
    <row r="694" ht="14.25" customHeight="1">
      <c r="B694" s="112"/>
    </row>
    <row r="695" ht="14.25" customHeight="1">
      <c r="B695" s="112"/>
    </row>
    <row r="696" ht="14.25" customHeight="1">
      <c r="B696" s="112"/>
    </row>
    <row r="697" ht="14.25" customHeight="1">
      <c r="B697" s="112"/>
    </row>
    <row r="698" ht="14.25" customHeight="1">
      <c r="B698" s="112"/>
    </row>
    <row r="699" ht="14.25" customHeight="1">
      <c r="B699" s="112"/>
    </row>
    <row r="700" ht="14.25" customHeight="1">
      <c r="B700" s="112"/>
    </row>
    <row r="701" ht="14.25" customHeight="1">
      <c r="B701" s="112"/>
    </row>
    <row r="702" ht="14.25" customHeight="1">
      <c r="B702" s="112"/>
    </row>
    <row r="703" ht="14.25" customHeight="1">
      <c r="B703" s="112"/>
    </row>
    <row r="704" ht="14.25" customHeight="1">
      <c r="B704" s="112"/>
    </row>
    <row r="705" ht="14.25" customHeight="1">
      <c r="B705" s="112"/>
    </row>
    <row r="706" ht="14.25" customHeight="1">
      <c r="B706" s="112"/>
    </row>
    <row r="707" ht="14.25" customHeight="1">
      <c r="B707" s="112"/>
    </row>
    <row r="708" ht="14.25" customHeight="1">
      <c r="B708" s="112"/>
    </row>
    <row r="709" ht="14.25" customHeight="1">
      <c r="B709" s="112"/>
    </row>
    <row r="710" ht="14.25" customHeight="1">
      <c r="B710" s="112"/>
    </row>
    <row r="711" ht="14.25" customHeight="1">
      <c r="B711" s="112"/>
    </row>
    <row r="712" ht="14.25" customHeight="1">
      <c r="B712" s="112"/>
    </row>
    <row r="713" ht="14.25" customHeight="1">
      <c r="B713" s="112"/>
    </row>
    <row r="714" ht="14.25" customHeight="1">
      <c r="B714" s="112"/>
    </row>
    <row r="715" ht="14.25" customHeight="1">
      <c r="B715" s="112"/>
    </row>
    <row r="716" ht="14.25" customHeight="1">
      <c r="B716" s="112"/>
    </row>
    <row r="717" ht="14.25" customHeight="1">
      <c r="B717" s="112"/>
    </row>
    <row r="718" ht="14.25" customHeight="1">
      <c r="B718" s="112"/>
    </row>
    <row r="719" ht="14.25" customHeight="1">
      <c r="B719" s="112"/>
    </row>
    <row r="720" ht="14.25" customHeight="1">
      <c r="B720" s="112"/>
    </row>
    <row r="721" ht="14.25" customHeight="1">
      <c r="B721" s="112"/>
    </row>
    <row r="722" ht="14.25" customHeight="1">
      <c r="B722" s="112"/>
    </row>
    <row r="723" ht="14.25" customHeight="1">
      <c r="B723" s="112"/>
    </row>
    <row r="724" ht="14.25" customHeight="1">
      <c r="B724" s="112"/>
    </row>
    <row r="725" ht="14.25" customHeight="1">
      <c r="B725" s="112"/>
    </row>
    <row r="726" ht="14.25" customHeight="1">
      <c r="B726" s="112"/>
    </row>
    <row r="727" ht="14.25" customHeight="1">
      <c r="B727" s="112"/>
    </row>
    <row r="728" ht="14.25" customHeight="1">
      <c r="B728" s="112"/>
    </row>
    <row r="729" ht="14.25" customHeight="1">
      <c r="B729" s="112"/>
    </row>
    <row r="730" ht="14.25" customHeight="1">
      <c r="B730" s="112"/>
    </row>
    <row r="731" ht="14.25" customHeight="1">
      <c r="B731" s="112"/>
    </row>
    <row r="732" ht="14.25" customHeight="1">
      <c r="B732" s="112"/>
    </row>
    <row r="733" ht="14.25" customHeight="1">
      <c r="B733" s="112"/>
    </row>
    <row r="734" ht="14.25" customHeight="1">
      <c r="B734" s="112"/>
    </row>
    <row r="735" ht="14.25" customHeight="1">
      <c r="B735" s="112"/>
    </row>
    <row r="736" ht="14.25" customHeight="1">
      <c r="B736" s="112"/>
    </row>
    <row r="737" ht="14.25" customHeight="1">
      <c r="B737" s="112"/>
    </row>
    <row r="738" ht="14.25" customHeight="1">
      <c r="B738" s="112"/>
    </row>
    <row r="739" ht="14.25" customHeight="1">
      <c r="B739" s="112"/>
    </row>
    <row r="740" ht="14.25" customHeight="1">
      <c r="B740" s="112"/>
    </row>
    <row r="741" ht="14.25" customHeight="1">
      <c r="B741" s="112"/>
    </row>
    <row r="742" ht="14.25" customHeight="1">
      <c r="B742" s="112"/>
    </row>
    <row r="743" ht="14.25" customHeight="1">
      <c r="B743" s="112"/>
    </row>
    <row r="744" ht="14.25" customHeight="1">
      <c r="B744" s="112"/>
    </row>
    <row r="745" ht="14.25" customHeight="1">
      <c r="B745" s="112"/>
    </row>
    <row r="746" ht="14.25" customHeight="1">
      <c r="B746" s="112"/>
    </row>
    <row r="747" ht="14.25" customHeight="1">
      <c r="B747" s="112"/>
    </row>
    <row r="748" ht="14.25" customHeight="1">
      <c r="B748" s="112"/>
    </row>
    <row r="749" ht="14.25" customHeight="1">
      <c r="B749" s="112"/>
    </row>
    <row r="750" ht="14.25" customHeight="1">
      <c r="B750" s="112"/>
    </row>
    <row r="751" ht="14.25" customHeight="1">
      <c r="B751" s="112"/>
    </row>
    <row r="752" ht="14.25" customHeight="1">
      <c r="B752" s="112"/>
    </row>
    <row r="753" ht="14.25" customHeight="1">
      <c r="B753" s="112"/>
    </row>
    <row r="754" ht="14.25" customHeight="1">
      <c r="B754" s="112"/>
    </row>
    <row r="755" ht="14.25" customHeight="1">
      <c r="B755" s="112"/>
    </row>
    <row r="756" ht="14.25" customHeight="1">
      <c r="B756" s="112"/>
    </row>
    <row r="757" ht="14.25" customHeight="1">
      <c r="B757" s="112"/>
    </row>
    <row r="758" ht="14.25" customHeight="1">
      <c r="B758" s="112"/>
    </row>
    <row r="759" ht="14.25" customHeight="1">
      <c r="B759" s="112"/>
    </row>
    <row r="760" ht="14.25" customHeight="1">
      <c r="B760" s="112"/>
    </row>
    <row r="761" ht="14.25" customHeight="1">
      <c r="B761" s="112"/>
    </row>
    <row r="762" ht="14.25" customHeight="1">
      <c r="B762" s="112"/>
    </row>
    <row r="763" ht="14.25" customHeight="1">
      <c r="B763" s="112"/>
    </row>
    <row r="764" ht="14.25" customHeight="1">
      <c r="B764" s="112"/>
    </row>
    <row r="765" ht="14.25" customHeight="1">
      <c r="B765" s="112"/>
    </row>
    <row r="766" ht="14.25" customHeight="1">
      <c r="B766" s="112"/>
    </row>
    <row r="767" ht="14.25" customHeight="1">
      <c r="B767" s="112"/>
    </row>
    <row r="768" ht="14.25" customHeight="1">
      <c r="B768" s="112"/>
    </row>
    <row r="769" ht="14.25" customHeight="1">
      <c r="B769" s="112"/>
    </row>
    <row r="770" ht="14.25" customHeight="1">
      <c r="B770" s="112"/>
    </row>
    <row r="771" ht="14.25" customHeight="1">
      <c r="B771" s="112"/>
    </row>
    <row r="772" ht="14.25" customHeight="1">
      <c r="B772" s="112"/>
    </row>
    <row r="773" ht="14.25" customHeight="1">
      <c r="B773" s="112"/>
    </row>
    <row r="774" ht="14.25" customHeight="1">
      <c r="B774" s="112"/>
    </row>
    <row r="775" ht="14.25" customHeight="1">
      <c r="B775" s="112"/>
    </row>
    <row r="776" ht="14.25" customHeight="1">
      <c r="B776" s="112"/>
    </row>
    <row r="777" ht="14.25" customHeight="1">
      <c r="B777" s="112"/>
    </row>
    <row r="778" ht="14.25" customHeight="1">
      <c r="B778" s="112"/>
    </row>
    <row r="779" ht="14.25" customHeight="1">
      <c r="B779" s="112"/>
    </row>
    <row r="780" ht="14.25" customHeight="1">
      <c r="B780" s="112"/>
    </row>
    <row r="781" ht="14.25" customHeight="1">
      <c r="B781" s="112"/>
    </row>
    <row r="782" ht="14.25" customHeight="1">
      <c r="B782" s="112"/>
    </row>
    <row r="783" ht="14.25" customHeight="1">
      <c r="B783" s="112"/>
    </row>
    <row r="784" ht="14.25" customHeight="1">
      <c r="B784" s="112"/>
    </row>
    <row r="785" ht="14.25" customHeight="1">
      <c r="B785" s="112"/>
    </row>
    <row r="786" ht="14.25" customHeight="1">
      <c r="B786" s="112"/>
    </row>
    <row r="787" ht="14.25" customHeight="1">
      <c r="B787" s="112"/>
    </row>
    <row r="788" ht="14.25" customHeight="1">
      <c r="B788" s="112"/>
    </row>
    <row r="789" ht="14.25" customHeight="1">
      <c r="B789" s="112"/>
    </row>
    <row r="790" ht="14.25" customHeight="1">
      <c r="B790" s="112"/>
    </row>
    <row r="791" ht="14.25" customHeight="1">
      <c r="B791" s="112"/>
    </row>
    <row r="792" ht="14.25" customHeight="1">
      <c r="B792" s="112"/>
    </row>
    <row r="793" ht="14.25" customHeight="1">
      <c r="B793" s="112"/>
    </row>
    <row r="794" ht="14.25" customHeight="1">
      <c r="B794" s="112"/>
    </row>
    <row r="795" ht="14.25" customHeight="1">
      <c r="B795" s="112"/>
    </row>
    <row r="796" ht="14.25" customHeight="1">
      <c r="B796" s="112"/>
    </row>
    <row r="797" ht="14.25" customHeight="1">
      <c r="B797" s="112"/>
    </row>
    <row r="798" ht="14.25" customHeight="1">
      <c r="B798" s="112"/>
    </row>
    <row r="799" ht="14.25" customHeight="1">
      <c r="B799" s="112"/>
    </row>
    <row r="800" ht="14.25" customHeight="1">
      <c r="B800" s="112"/>
    </row>
    <row r="801" ht="14.25" customHeight="1">
      <c r="B801" s="112"/>
    </row>
    <row r="802" ht="14.25" customHeight="1">
      <c r="B802" s="112"/>
    </row>
    <row r="803" ht="14.25" customHeight="1">
      <c r="B803" s="112"/>
    </row>
    <row r="804" ht="14.25" customHeight="1">
      <c r="B804" s="112"/>
    </row>
    <row r="805" ht="14.25" customHeight="1">
      <c r="B805" s="112"/>
    </row>
    <row r="806" ht="14.25" customHeight="1">
      <c r="B806" s="112"/>
    </row>
    <row r="807" ht="14.25" customHeight="1">
      <c r="B807" s="112"/>
    </row>
    <row r="808" ht="14.25" customHeight="1">
      <c r="B808" s="112"/>
    </row>
    <row r="809" ht="14.25" customHeight="1">
      <c r="B809" s="112"/>
    </row>
    <row r="810" ht="14.25" customHeight="1">
      <c r="B810" s="112"/>
    </row>
    <row r="811" ht="14.25" customHeight="1">
      <c r="B811" s="112"/>
    </row>
    <row r="812" ht="14.25" customHeight="1">
      <c r="B812" s="112"/>
    </row>
    <row r="813" ht="14.25" customHeight="1">
      <c r="B813" s="112"/>
    </row>
    <row r="814" ht="14.25" customHeight="1">
      <c r="B814" s="112"/>
    </row>
    <row r="815" ht="14.25" customHeight="1">
      <c r="B815" s="112"/>
    </row>
    <row r="816" ht="14.25" customHeight="1">
      <c r="B816" s="112"/>
    </row>
    <row r="817" ht="14.25" customHeight="1">
      <c r="B817" s="112"/>
    </row>
    <row r="818" ht="14.25" customHeight="1">
      <c r="B818" s="112"/>
    </row>
    <row r="819" ht="14.25" customHeight="1">
      <c r="B819" s="112"/>
    </row>
    <row r="820" ht="14.25" customHeight="1">
      <c r="B820" s="112"/>
    </row>
    <row r="821" ht="14.25" customHeight="1">
      <c r="B821" s="112"/>
    </row>
    <row r="822" ht="14.25" customHeight="1">
      <c r="B822" s="112"/>
    </row>
    <row r="823" ht="14.25" customHeight="1">
      <c r="B823" s="112"/>
    </row>
    <row r="824" ht="14.25" customHeight="1">
      <c r="B824" s="112"/>
    </row>
    <row r="825" ht="14.25" customHeight="1">
      <c r="B825" s="112"/>
    </row>
    <row r="826" ht="14.25" customHeight="1">
      <c r="B826" s="112"/>
    </row>
    <row r="827" ht="14.25" customHeight="1">
      <c r="B827" s="112"/>
    </row>
    <row r="828" ht="14.25" customHeight="1">
      <c r="B828" s="112"/>
    </row>
    <row r="829" ht="14.25" customHeight="1">
      <c r="B829" s="112"/>
    </row>
    <row r="830" ht="14.25" customHeight="1">
      <c r="B830" s="112"/>
    </row>
    <row r="831" ht="14.25" customHeight="1">
      <c r="B831" s="112"/>
    </row>
    <row r="832" ht="14.25" customHeight="1">
      <c r="B832" s="112"/>
    </row>
    <row r="833" ht="14.25" customHeight="1">
      <c r="B833" s="112"/>
    </row>
    <row r="834" ht="14.25" customHeight="1">
      <c r="B834" s="112"/>
    </row>
    <row r="835" ht="14.25" customHeight="1">
      <c r="B835" s="112"/>
    </row>
    <row r="836" ht="14.25" customHeight="1">
      <c r="B836" s="112"/>
    </row>
    <row r="837" ht="14.25" customHeight="1">
      <c r="B837" s="112"/>
    </row>
    <row r="838" ht="14.25" customHeight="1">
      <c r="B838" s="112"/>
    </row>
    <row r="839" ht="14.25" customHeight="1">
      <c r="B839" s="112"/>
    </row>
    <row r="840" ht="14.25" customHeight="1">
      <c r="B840" s="112"/>
    </row>
    <row r="841" ht="14.25" customHeight="1">
      <c r="B841" s="112"/>
    </row>
    <row r="842" ht="14.25" customHeight="1">
      <c r="B842" s="112"/>
    </row>
    <row r="843" ht="14.25" customHeight="1">
      <c r="B843" s="112"/>
    </row>
    <row r="844" ht="14.25" customHeight="1">
      <c r="B844" s="112"/>
    </row>
    <row r="845" ht="14.25" customHeight="1">
      <c r="B845" s="112"/>
    </row>
    <row r="846" ht="14.25" customHeight="1">
      <c r="B846" s="112"/>
    </row>
    <row r="847" ht="14.25" customHeight="1">
      <c r="B847" s="112"/>
    </row>
    <row r="848" ht="14.25" customHeight="1">
      <c r="B848" s="112"/>
    </row>
    <row r="849" ht="14.25" customHeight="1">
      <c r="B849" s="112"/>
    </row>
    <row r="850" ht="14.25" customHeight="1">
      <c r="B850" s="112"/>
    </row>
    <row r="851" ht="14.25" customHeight="1">
      <c r="B851" s="112"/>
    </row>
    <row r="852" ht="14.25" customHeight="1">
      <c r="B852" s="112"/>
    </row>
    <row r="853" ht="14.25" customHeight="1">
      <c r="B853" s="112"/>
    </row>
    <row r="854" ht="14.25" customHeight="1">
      <c r="B854" s="112"/>
    </row>
    <row r="855" ht="14.25" customHeight="1">
      <c r="B855" s="112"/>
    </row>
    <row r="856" ht="14.25" customHeight="1">
      <c r="B856" s="112"/>
    </row>
    <row r="857" ht="14.25" customHeight="1">
      <c r="B857" s="112"/>
    </row>
    <row r="858" ht="14.25" customHeight="1">
      <c r="B858" s="112"/>
    </row>
    <row r="859" ht="14.25" customHeight="1">
      <c r="B859" s="112"/>
    </row>
    <row r="860" ht="14.25" customHeight="1">
      <c r="B860" s="112"/>
    </row>
    <row r="861" ht="14.25" customHeight="1">
      <c r="B861" s="112"/>
    </row>
    <row r="862" ht="14.25" customHeight="1">
      <c r="B862" s="112"/>
    </row>
    <row r="863" ht="14.25" customHeight="1">
      <c r="B863" s="112"/>
    </row>
    <row r="864" ht="14.25" customHeight="1">
      <c r="B864" s="112"/>
    </row>
    <row r="865" ht="14.25" customHeight="1">
      <c r="B865" s="112"/>
    </row>
    <row r="866" ht="14.25" customHeight="1">
      <c r="B866" s="112"/>
    </row>
    <row r="867" ht="14.25" customHeight="1">
      <c r="B867" s="112"/>
    </row>
    <row r="868" ht="14.25" customHeight="1">
      <c r="B868" s="112"/>
    </row>
    <row r="869" ht="14.25" customHeight="1">
      <c r="B869" s="112"/>
    </row>
    <row r="870" ht="14.25" customHeight="1">
      <c r="B870" s="112"/>
    </row>
    <row r="871" ht="14.25" customHeight="1">
      <c r="B871" s="112"/>
    </row>
    <row r="872" ht="14.25" customHeight="1">
      <c r="B872" s="112"/>
    </row>
    <row r="873" ht="14.25" customHeight="1">
      <c r="B873" s="112"/>
    </row>
    <row r="874" ht="14.25" customHeight="1">
      <c r="B874" s="112"/>
    </row>
    <row r="875" ht="14.25" customHeight="1">
      <c r="B875" s="112"/>
    </row>
    <row r="876" ht="14.25" customHeight="1">
      <c r="B876" s="112"/>
    </row>
    <row r="877" ht="14.25" customHeight="1">
      <c r="B877" s="112"/>
    </row>
    <row r="878" ht="14.25" customHeight="1">
      <c r="B878" s="112"/>
    </row>
    <row r="879" ht="14.25" customHeight="1">
      <c r="B879" s="112"/>
    </row>
    <row r="880" ht="14.25" customHeight="1">
      <c r="B880" s="112"/>
    </row>
    <row r="881" ht="14.25" customHeight="1">
      <c r="B881" s="112"/>
    </row>
    <row r="882" ht="14.25" customHeight="1">
      <c r="B882" s="112"/>
    </row>
    <row r="883" ht="14.25" customHeight="1">
      <c r="B883" s="112"/>
    </row>
    <row r="884" ht="14.25" customHeight="1">
      <c r="B884" s="112"/>
    </row>
    <row r="885" ht="14.25" customHeight="1">
      <c r="B885" s="112"/>
    </row>
    <row r="886" ht="14.25" customHeight="1">
      <c r="B886" s="112"/>
    </row>
    <row r="887" ht="14.25" customHeight="1">
      <c r="B887" s="112"/>
    </row>
    <row r="888" ht="14.25" customHeight="1">
      <c r="B888" s="112"/>
    </row>
    <row r="889" ht="14.25" customHeight="1">
      <c r="B889" s="112"/>
    </row>
    <row r="890" ht="14.25" customHeight="1">
      <c r="B890" s="112"/>
    </row>
    <row r="891" ht="14.25" customHeight="1">
      <c r="B891" s="112"/>
    </row>
    <row r="892" ht="14.25" customHeight="1">
      <c r="B892" s="112"/>
    </row>
    <row r="893" ht="14.25" customHeight="1">
      <c r="B893" s="112"/>
    </row>
    <row r="894" ht="14.25" customHeight="1">
      <c r="B894" s="112"/>
    </row>
    <row r="895" ht="14.25" customHeight="1">
      <c r="B895" s="112"/>
    </row>
    <row r="896" ht="14.25" customHeight="1">
      <c r="B896" s="112"/>
    </row>
    <row r="897" ht="14.25" customHeight="1">
      <c r="B897" s="112"/>
    </row>
    <row r="898" ht="14.25" customHeight="1">
      <c r="B898" s="112"/>
    </row>
    <row r="899" ht="14.25" customHeight="1">
      <c r="B899" s="112"/>
    </row>
    <row r="900" ht="14.25" customHeight="1">
      <c r="B900" s="112"/>
    </row>
    <row r="901" ht="14.25" customHeight="1">
      <c r="B901" s="112"/>
    </row>
    <row r="902" ht="14.25" customHeight="1">
      <c r="B902" s="112"/>
    </row>
    <row r="903" ht="14.25" customHeight="1">
      <c r="B903" s="112"/>
    </row>
    <row r="904" ht="14.25" customHeight="1">
      <c r="B904" s="112"/>
    </row>
    <row r="905" ht="14.25" customHeight="1">
      <c r="B905" s="112"/>
    </row>
    <row r="906" ht="14.25" customHeight="1">
      <c r="B906" s="112"/>
    </row>
    <row r="907" ht="14.25" customHeight="1">
      <c r="B907" s="112"/>
    </row>
    <row r="908" ht="14.25" customHeight="1">
      <c r="B908" s="112"/>
    </row>
    <row r="909" ht="14.25" customHeight="1">
      <c r="B909" s="112"/>
    </row>
    <row r="910" ht="14.25" customHeight="1">
      <c r="B910" s="112"/>
    </row>
    <row r="911" ht="14.25" customHeight="1">
      <c r="B911" s="112"/>
    </row>
    <row r="912" ht="14.25" customHeight="1">
      <c r="B912" s="112"/>
    </row>
    <row r="913" ht="14.25" customHeight="1">
      <c r="B913" s="112"/>
    </row>
    <row r="914" ht="14.25" customHeight="1">
      <c r="B914" s="112"/>
    </row>
    <row r="915" ht="14.25" customHeight="1">
      <c r="B915" s="112"/>
    </row>
    <row r="916" ht="14.25" customHeight="1">
      <c r="B916" s="112"/>
    </row>
    <row r="917" ht="14.25" customHeight="1">
      <c r="B917" s="112"/>
    </row>
    <row r="918" ht="14.25" customHeight="1">
      <c r="B918" s="112"/>
    </row>
    <row r="919" ht="14.25" customHeight="1">
      <c r="B919" s="112"/>
    </row>
    <row r="920" ht="14.25" customHeight="1">
      <c r="B920" s="112"/>
    </row>
    <row r="921" ht="14.25" customHeight="1">
      <c r="B921" s="112"/>
    </row>
    <row r="922" ht="14.25" customHeight="1">
      <c r="B922" s="112"/>
    </row>
    <row r="923" ht="14.25" customHeight="1">
      <c r="B923" s="112"/>
    </row>
    <row r="924" ht="14.25" customHeight="1">
      <c r="B924" s="112"/>
    </row>
    <row r="925" ht="14.25" customHeight="1">
      <c r="B925" s="112"/>
    </row>
    <row r="926" ht="14.25" customHeight="1">
      <c r="B926" s="112"/>
    </row>
    <row r="927" ht="14.25" customHeight="1">
      <c r="B927" s="112"/>
    </row>
    <row r="928" ht="14.25" customHeight="1">
      <c r="B928" s="112"/>
    </row>
    <row r="929" ht="14.25" customHeight="1">
      <c r="B929" s="112"/>
    </row>
    <row r="930" ht="14.25" customHeight="1">
      <c r="B930" s="112"/>
    </row>
    <row r="931" ht="14.25" customHeight="1">
      <c r="B931" s="112"/>
    </row>
    <row r="932" ht="14.25" customHeight="1">
      <c r="B932" s="112"/>
    </row>
    <row r="933" ht="14.25" customHeight="1">
      <c r="B933" s="112"/>
    </row>
    <row r="934" ht="14.25" customHeight="1">
      <c r="B934" s="112"/>
    </row>
    <row r="935" ht="14.25" customHeight="1">
      <c r="B935" s="112"/>
    </row>
    <row r="936" ht="14.25" customHeight="1">
      <c r="B936" s="112"/>
    </row>
    <row r="937" ht="14.25" customHeight="1">
      <c r="B937" s="112"/>
    </row>
    <row r="938" ht="14.25" customHeight="1">
      <c r="B938" s="112"/>
    </row>
    <row r="939" ht="14.25" customHeight="1">
      <c r="B939" s="112"/>
    </row>
    <row r="940" ht="14.25" customHeight="1">
      <c r="B940" s="112"/>
    </row>
    <row r="941" ht="14.25" customHeight="1">
      <c r="B941" s="112"/>
    </row>
    <row r="942" ht="14.25" customHeight="1">
      <c r="B942" s="112"/>
    </row>
    <row r="943" ht="14.25" customHeight="1">
      <c r="B943" s="112"/>
    </row>
    <row r="944" ht="14.25" customHeight="1">
      <c r="B944" s="112"/>
    </row>
    <row r="945" ht="14.25" customHeight="1">
      <c r="B945" s="112"/>
    </row>
    <row r="946" ht="14.25" customHeight="1">
      <c r="B946" s="112"/>
    </row>
    <row r="947" ht="14.25" customHeight="1">
      <c r="B947" s="112"/>
    </row>
    <row r="948" ht="14.25" customHeight="1">
      <c r="B948" s="112"/>
    </row>
    <row r="949" ht="14.25" customHeight="1">
      <c r="B949" s="112"/>
    </row>
    <row r="950" ht="14.25" customHeight="1">
      <c r="B950" s="112"/>
    </row>
    <row r="951" ht="14.25" customHeight="1">
      <c r="B951" s="112"/>
    </row>
    <row r="952" ht="14.25" customHeight="1">
      <c r="B952" s="112"/>
    </row>
    <row r="953" ht="14.25" customHeight="1">
      <c r="B953" s="112"/>
    </row>
    <row r="954" ht="14.25" customHeight="1">
      <c r="B954" s="112"/>
    </row>
    <row r="955" ht="14.25" customHeight="1">
      <c r="B955" s="112"/>
    </row>
    <row r="956" ht="14.25" customHeight="1">
      <c r="B956" s="112"/>
    </row>
    <row r="957" ht="14.25" customHeight="1">
      <c r="B957" s="112"/>
    </row>
    <row r="958" ht="14.25" customHeight="1">
      <c r="B958" s="112"/>
    </row>
    <row r="959" ht="14.25" customHeight="1">
      <c r="B959" s="112"/>
    </row>
    <row r="960" ht="14.25" customHeight="1">
      <c r="B960" s="112"/>
    </row>
    <row r="961" ht="14.25" customHeight="1">
      <c r="B961" s="112"/>
    </row>
    <row r="962" ht="14.25" customHeight="1">
      <c r="B962" s="112"/>
    </row>
    <row r="963" ht="14.25" customHeight="1">
      <c r="B963" s="112"/>
    </row>
    <row r="964" ht="14.25" customHeight="1">
      <c r="B964" s="112"/>
    </row>
    <row r="965" ht="14.25" customHeight="1">
      <c r="B965" s="112"/>
    </row>
    <row r="966" ht="14.25" customHeight="1">
      <c r="B966" s="112"/>
    </row>
    <row r="967" ht="14.25" customHeight="1">
      <c r="B967" s="112"/>
    </row>
    <row r="968" ht="14.25" customHeight="1">
      <c r="B968" s="112"/>
    </row>
    <row r="969" ht="14.25" customHeight="1">
      <c r="B969" s="112"/>
    </row>
    <row r="970" ht="14.25" customHeight="1">
      <c r="B970" s="112"/>
    </row>
    <row r="971" ht="14.25" customHeight="1">
      <c r="B971" s="112"/>
    </row>
    <row r="972" ht="14.25" customHeight="1">
      <c r="B972" s="112"/>
    </row>
    <row r="973" ht="14.25" customHeight="1">
      <c r="B973" s="112"/>
    </row>
    <row r="974" ht="14.25" customHeight="1">
      <c r="B974" s="112"/>
    </row>
    <row r="975" ht="14.25" customHeight="1">
      <c r="B975" s="112"/>
    </row>
    <row r="976" ht="14.25" customHeight="1">
      <c r="B976" s="112"/>
    </row>
    <row r="977" ht="14.25" customHeight="1">
      <c r="B977" s="112"/>
    </row>
    <row r="978" ht="14.25" customHeight="1">
      <c r="B978" s="112"/>
    </row>
    <row r="979" ht="14.25" customHeight="1">
      <c r="B979" s="112"/>
    </row>
    <row r="980" ht="14.25" customHeight="1">
      <c r="B980" s="112"/>
    </row>
    <row r="981" ht="14.25" customHeight="1">
      <c r="B981" s="112"/>
    </row>
    <row r="982" ht="14.25" customHeight="1">
      <c r="B982" s="112"/>
    </row>
    <row r="983" ht="14.25" customHeight="1">
      <c r="B983" s="112"/>
    </row>
    <row r="984" ht="14.25" customHeight="1">
      <c r="B984" s="112"/>
    </row>
    <row r="985" ht="14.25" customHeight="1">
      <c r="B985" s="112"/>
    </row>
    <row r="986" ht="14.25" customHeight="1">
      <c r="B986" s="112"/>
    </row>
    <row r="987" ht="14.25" customHeight="1">
      <c r="B987" s="112"/>
    </row>
    <row r="988" ht="14.25" customHeight="1">
      <c r="B988" s="112"/>
    </row>
    <row r="989" ht="14.25" customHeight="1">
      <c r="B989" s="112"/>
    </row>
    <row r="990" ht="14.25" customHeight="1">
      <c r="B990" s="112"/>
    </row>
    <row r="991" ht="14.25" customHeight="1">
      <c r="B991" s="112"/>
    </row>
    <row r="992" ht="14.25" customHeight="1">
      <c r="B992" s="112"/>
    </row>
    <row r="993" ht="14.25" customHeight="1">
      <c r="B993" s="112"/>
    </row>
    <row r="994" ht="14.25" customHeight="1">
      <c r="B994" s="112"/>
    </row>
    <row r="995" ht="14.25" customHeight="1">
      <c r="B995" s="112"/>
    </row>
    <row r="996" ht="14.25" customHeight="1">
      <c r="B996" s="112"/>
    </row>
    <row r="997" ht="14.25" customHeight="1">
      <c r="B997" s="112"/>
    </row>
    <row r="998" ht="14.25" customHeight="1">
      <c r="B998" s="112"/>
    </row>
    <row r="999" ht="14.25" customHeight="1">
      <c r="B999" s="112"/>
    </row>
    <row r="1000" ht="14.25" customHeight="1">
      <c r="B1000" s="11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9.14"/>
    <col customWidth="1" min="3" max="26" width="8.71"/>
  </cols>
  <sheetData>
    <row r="1" ht="14.25" customHeight="1">
      <c r="A1" s="113" t="s">
        <v>73</v>
      </c>
      <c r="B1" s="112">
        <v>10.0</v>
      </c>
      <c r="E1" s="109" t="s">
        <v>74</v>
      </c>
      <c r="F1" s="109" t="s">
        <v>75</v>
      </c>
    </row>
    <row r="2" ht="14.25" customHeight="1">
      <c r="A2" s="113" t="s">
        <v>76</v>
      </c>
      <c r="B2" s="112">
        <v>5.0</v>
      </c>
      <c r="F2" s="109" t="s">
        <v>77</v>
      </c>
    </row>
    <row r="3" ht="14.25" customHeight="1">
      <c r="A3" s="113" t="s">
        <v>78</v>
      </c>
      <c r="B3" s="112">
        <v>10.0</v>
      </c>
      <c r="F3" s="109" t="s">
        <v>79</v>
      </c>
    </row>
    <row r="4" ht="14.25" customHeight="1">
      <c r="A4" s="113" t="s">
        <v>80</v>
      </c>
      <c r="B4" s="112">
        <v>125.0</v>
      </c>
      <c r="F4" s="109" t="s">
        <v>81</v>
      </c>
    </row>
    <row r="5" ht="14.25" customHeight="1">
      <c r="A5" s="113" t="s">
        <v>82</v>
      </c>
      <c r="B5" s="112">
        <v>100.0</v>
      </c>
    </row>
    <row r="6" ht="14.25" customHeight="1">
      <c r="A6" s="113" t="s">
        <v>83</v>
      </c>
      <c r="B6" s="112">
        <v>60.0</v>
      </c>
    </row>
    <row r="7" ht="14.25" customHeight="1">
      <c r="A7" s="113" t="s">
        <v>84</v>
      </c>
      <c r="B7" s="112">
        <v>100.0</v>
      </c>
    </row>
    <row r="8" ht="14.25" customHeight="1">
      <c r="A8" s="113" t="s">
        <v>85</v>
      </c>
      <c r="B8" s="112">
        <v>60.0</v>
      </c>
    </row>
    <row r="9" ht="14.25" customHeight="1">
      <c r="A9" s="113" t="s">
        <v>86</v>
      </c>
      <c r="B9" s="112">
        <v>50.0</v>
      </c>
    </row>
    <row r="10" ht="14.25" customHeight="1">
      <c r="A10" s="113" t="s">
        <v>87</v>
      </c>
      <c r="B10" s="112">
        <v>75.0</v>
      </c>
    </row>
    <row r="11" ht="14.25" customHeight="1">
      <c r="B11" s="112"/>
    </row>
    <row r="12" ht="14.25" customHeight="1">
      <c r="B12" s="112"/>
    </row>
    <row r="13" ht="14.25" customHeight="1">
      <c r="B13" s="112"/>
    </row>
    <row r="14" ht="14.25" customHeight="1">
      <c r="B14" s="112"/>
    </row>
    <row r="15" ht="14.25" customHeight="1">
      <c r="B15" s="112"/>
    </row>
    <row r="16" ht="14.25" customHeight="1">
      <c r="B16" s="112"/>
    </row>
    <row r="17" ht="14.25" customHeight="1">
      <c r="B17" s="112"/>
    </row>
    <row r="18" ht="14.25" customHeight="1">
      <c r="B18" s="112"/>
    </row>
    <row r="19" ht="14.25" customHeight="1">
      <c r="B19" s="112"/>
    </row>
    <row r="20" ht="14.25" customHeight="1">
      <c r="B20" s="112"/>
    </row>
    <row r="21" ht="14.25" customHeight="1">
      <c r="B21" s="112"/>
    </row>
    <row r="22" ht="14.25" customHeight="1">
      <c r="B22" s="112"/>
    </row>
    <row r="23" ht="14.25" customHeight="1">
      <c r="B23" s="112"/>
    </row>
    <row r="24" ht="14.25" customHeight="1">
      <c r="B24" s="112"/>
    </row>
    <row r="25" ht="14.25" customHeight="1">
      <c r="B25" s="112"/>
    </row>
    <row r="26" ht="14.25" customHeight="1">
      <c r="B26" s="112"/>
    </row>
    <row r="27" ht="14.25" customHeight="1">
      <c r="B27" s="112"/>
    </row>
    <row r="28" ht="14.25" customHeight="1">
      <c r="B28" s="112"/>
    </row>
    <row r="29" ht="14.25" customHeight="1">
      <c r="B29" s="112"/>
    </row>
    <row r="30" ht="14.25" customHeight="1">
      <c r="B30" s="112"/>
    </row>
    <row r="31" ht="14.25" customHeight="1">
      <c r="B31" s="112"/>
    </row>
    <row r="32" ht="14.25" customHeight="1">
      <c r="B32" s="112"/>
    </row>
    <row r="33" ht="14.25" customHeight="1">
      <c r="B33" s="112"/>
    </row>
    <row r="34" ht="14.25" customHeight="1">
      <c r="B34" s="112"/>
    </row>
    <row r="35" ht="14.25" customHeight="1">
      <c r="B35" s="112"/>
    </row>
    <row r="36" ht="14.25" customHeight="1">
      <c r="B36" s="112"/>
    </row>
    <row r="37" ht="14.25" customHeight="1">
      <c r="B37" s="112"/>
    </row>
    <row r="38" ht="14.25" customHeight="1">
      <c r="B38" s="112"/>
    </row>
    <row r="39" ht="14.25" customHeight="1">
      <c r="B39" s="112"/>
    </row>
    <row r="40" ht="14.25" customHeight="1">
      <c r="B40" s="112"/>
    </row>
    <row r="41" ht="14.25" customHeight="1">
      <c r="B41" s="112"/>
    </row>
    <row r="42" ht="14.25" customHeight="1">
      <c r="B42" s="112"/>
    </row>
    <row r="43" ht="14.25" customHeight="1">
      <c r="B43" s="112"/>
    </row>
    <row r="44" ht="14.25" customHeight="1">
      <c r="B44" s="112"/>
    </row>
    <row r="45" ht="14.25" customHeight="1">
      <c r="B45" s="112"/>
    </row>
    <row r="46" ht="14.25" customHeight="1">
      <c r="B46" s="112"/>
    </row>
    <row r="47" ht="14.25" customHeight="1">
      <c r="B47" s="112"/>
    </row>
    <row r="48" ht="14.25" customHeight="1">
      <c r="B48" s="112"/>
    </row>
    <row r="49" ht="14.25" customHeight="1">
      <c r="B49" s="112"/>
    </row>
    <row r="50" ht="14.25" customHeight="1">
      <c r="B50" s="112"/>
    </row>
    <row r="51" ht="14.25" customHeight="1">
      <c r="B51" s="112"/>
    </row>
    <row r="52" ht="14.25" customHeight="1">
      <c r="B52" s="112"/>
    </row>
    <row r="53" ht="14.25" customHeight="1">
      <c r="B53" s="112"/>
    </row>
    <row r="54" ht="14.25" customHeight="1">
      <c r="B54" s="112"/>
    </row>
    <row r="55" ht="14.25" customHeight="1">
      <c r="B55" s="112"/>
    </row>
    <row r="56" ht="14.25" customHeight="1">
      <c r="B56" s="112"/>
    </row>
    <row r="57" ht="14.25" customHeight="1">
      <c r="B57" s="112"/>
    </row>
    <row r="58" ht="14.25" customHeight="1">
      <c r="B58" s="112"/>
    </row>
    <row r="59" ht="14.25" customHeight="1">
      <c r="B59" s="112"/>
    </row>
    <row r="60" ht="14.25" customHeight="1">
      <c r="B60" s="112"/>
    </row>
    <row r="61" ht="14.25" customHeight="1">
      <c r="B61" s="112"/>
    </row>
    <row r="62" ht="14.25" customHeight="1">
      <c r="B62" s="112"/>
    </row>
    <row r="63" ht="14.25" customHeight="1">
      <c r="B63" s="112"/>
    </row>
    <row r="64" ht="14.25" customHeight="1">
      <c r="B64" s="112"/>
    </row>
    <row r="65" ht="14.25" customHeight="1">
      <c r="B65" s="112"/>
    </row>
    <row r="66" ht="14.25" customHeight="1">
      <c r="B66" s="112"/>
    </row>
    <row r="67" ht="14.25" customHeight="1">
      <c r="B67" s="112"/>
    </row>
    <row r="68" ht="14.25" customHeight="1">
      <c r="B68" s="112"/>
    </row>
    <row r="69" ht="14.25" customHeight="1">
      <c r="B69" s="112"/>
    </row>
    <row r="70" ht="14.25" customHeight="1">
      <c r="B70" s="112"/>
    </row>
    <row r="71" ht="14.25" customHeight="1">
      <c r="B71" s="112"/>
    </row>
    <row r="72" ht="14.25" customHeight="1">
      <c r="B72" s="112"/>
    </row>
    <row r="73" ht="14.25" customHeight="1">
      <c r="B73" s="112"/>
    </row>
    <row r="74" ht="14.25" customHeight="1">
      <c r="B74" s="112"/>
    </row>
    <row r="75" ht="14.25" customHeight="1">
      <c r="B75" s="112"/>
    </row>
    <row r="76" ht="14.25" customHeight="1">
      <c r="B76" s="112"/>
    </row>
    <row r="77" ht="14.25" customHeight="1">
      <c r="B77" s="112"/>
    </row>
    <row r="78" ht="14.25" customHeight="1">
      <c r="B78" s="112"/>
    </row>
    <row r="79" ht="14.25" customHeight="1">
      <c r="B79" s="112"/>
    </row>
    <row r="80" ht="14.25" customHeight="1">
      <c r="B80" s="112"/>
    </row>
    <row r="81" ht="14.25" customHeight="1">
      <c r="B81" s="112"/>
    </row>
    <row r="82" ht="14.25" customHeight="1">
      <c r="B82" s="112"/>
    </row>
    <row r="83" ht="14.25" customHeight="1">
      <c r="B83" s="112"/>
    </row>
    <row r="84" ht="14.25" customHeight="1">
      <c r="B84" s="112"/>
    </row>
    <row r="85" ht="14.25" customHeight="1">
      <c r="B85" s="112"/>
    </row>
    <row r="86" ht="14.25" customHeight="1">
      <c r="B86" s="112"/>
    </row>
    <row r="87" ht="14.25" customHeight="1">
      <c r="B87" s="112"/>
    </row>
    <row r="88" ht="14.25" customHeight="1">
      <c r="B88" s="112"/>
    </row>
    <row r="89" ht="14.25" customHeight="1">
      <c r="B89" s="112"/>
    </row>
    <row r="90" ht="14.25" customHeight="1">
      <c r="B90" s="112"/>
    </row>
    <row r="91" ht="14.25" customHeight="1">
      <c r="B91" s="112"/>
    </row>
    <row r="92" ht="14.25" customHeight="1">
      <c r="B92" s="112"/>
    </row>
    <row r="93" ht="14.25" customHeight="1">
      <c r="B93" s="112"/>
    </row>
    <row r="94" ht="14.25" customHeight="1">
      <c r="B94" s="112"/>
    </row>
    <row r="95" ht="14.25" customHeight="1">
      <c r="B95" s="112"/>
    </row>
    <row r="96" ht="14.25" customHeight="1">
      <c r="B96" s="112"/>
    </row>
    <row r="97" ht="14.25" customHeight="1">
      <c r="B97" s="112"/>
    </row>
    <row r="98" ht="14.25" customHeight="1">
      <c r="B98" s="112"/>
    </row>
    <row r="99" ht="14.25" customHeight="1">
      <c r="B99" s="112"/>
    </row>
    <row r="100" ht="14.25" customHeight="1">
      <c r="B100" s="112"/>
    </row>
    <row r="101" ht="14.25" customHeight="1">
      <c r="B101" s="112"/>
    </row>
    <row r="102" ht="14.25" customHeight="1">
      <c r="B102" s="112"/>
    </row>
    <row r="103" ht="14.25" customHeight="1">
      <c r="B103" s="112"/>
    </row>
    <row r="104" ht="14.25" customHeight="1">
      <c r="B104" s="112"/>
    </row>
    <row r="105" ht="14.25" customHeight="1">
      <c r="B105" s="112"/>
    </row>
    <row r="106" ht="14.25" customHeight="1">
      <c r="B106" s="112"/>
    </row>
    <row r="107" ht="14.25" customHeight="1">
      <c r="B107" s="112"/>
    </row>
    <row r="108" ht="14.25" customHeight="1">
      <c r="B108" s="112"/>
    </row>
    <row r="109" ht="14.25" customHeight="1">
      <c r="B109" s="112"/>
    </row>
    <row r="110" ht="14.25" customHeight="1">
      <c r="B110" s="112"/>
    </row>
    <row r="111" ht="14.25" customHeight="1">
      <c r="B111" s="112"/>
    </row>
    <row r="112" ht="14.25" customHeight="1">
      <c r="B112" s="112"/>
    </row>
    <row r="113" ht="14.25" customHeight="1">
      <c r="B113" s="112"/>
    </row>
    <row r="114" ht="14.25" customHeight="1">
      <c r="B114" s="112"/>
    </row>
    <row r="115" ht="14.25" customHeight="1">
      <c r="B115" s="112"/>
    </row>
    <row r="116" ht="14.25" customHeight="1">
      <c r="B116" s="112"/>
    </row>
    <row r="117" ht="14.25" customHeight="1">
      <c r="B117" s="112"/>
    </row>
    <row r="118" ht="14.25" customHeight="1">
      <c r="B118" s="112"/>
    </row>
    <row r="119" ht="14.25" customHeight="1">
      <c r="B119" s="112"/>
    </row>
    <row r="120" ht="14.25" customHeight="1">
      <c r="B120" s="112"/>
    </row>
    <row r="121" ht="14.25" customHeight="1">
      <c r="B121" s="112"/>
    </row>
    <row r="122" ht="14.25" customHeight="1">
      <c r="B122" s="112"/>
    </row>
    <row r="123" ht="14.25" customHeight="1">
      <c r="B123" s="112"/>
    </row>
    <row r="124" ht="14.25" customHeight="1">
      <c r="B124" s="112"/>
    </row>
    <row r="125" ht="14.25" customHeight="1">
      <c r="B125" s="112"/>
    </row>
    <row r="126" ht="14.25" customHeight="1">
      <c r="B126" s="112"/>
    </row>
    <row r="127" ht="14.25" customHeight="1">
      <c r="B127" s="112"/>
    </row>
    <row r="128" ht="14.25" customHeight="1">
      <c r="B128" s="112"/>
    </row>
    <row r="129" ht="14.25" customHeight="1">
      <c r="B129" s="112"/>
    </row>
    <row r="130" ht="14.25" customHeight="1">
      <c r="B130" s="112"/>
    </row>
    <row r="131" ht="14.25" customHeight="1">
      <c r="B131" s="112"/>
    </row>
    <row r="132" ht="14.25" customHeight="1">
      <c r="B132" s="112"/>
    </row>
    <row r="133" ht="14.25" customHeight="1">
      <c r="B133" s="112"/>
    </row>
    <row r="134" ht="14.25" customHeight="1">
      <c r="B134" s="112"/>
    </row>
    <row r="135" ht="14.25" customHeight="1">
      <c r="B135" s="112"/>
    </row>
    <row r="136" ht="14.25" customHeight="1">
      <c r="B136" s="112"/>
    </row>
    <row r="137" ht="14.25" customHeight="1">
      <c r="B137" s="112"/>
    </row>
    <row r="138" ht="14.25" customHeight="1">
      <c r="B138" s="112"/>
    </row>
    <row r="139" ht="14.25" customHeight="1">
      <c r="B139" s="112"/>
    </row>
    <row r="140" ht="14.25" customHeight="1">
      <c r="B140" s="112"/>
    </row>
    <row r="141" ht="14.25" customHeight="1">
      <c r="B141" s="112"/>
    </row>
    <row r="142" ht="14.25" customHeight="1">
      <c r="B142" s="112"/>
    </row>
    <row r="143" ht="14.25" customHeight="1">
      <c r="B143" s="112"/>
    </row>
    <row r="144" ht="14.25" customHeight="1">
      <c r="B144" s="112"/>
    </row>
    <row r="145" ht="14.25" customHeight="1">
      <c r="B145" s="112"/>
    </row>
    <row r="146" ht="14.25" customHeight="1">
      <c r="B146" s="112"/>
    </row>
    <row r="147" ht="14.25" customHeight="1">
      <c r="B147" s="112"/>
    </row>
    <row r="148" ht="14.25" customHeight="1">
      <c r="B148" s="112"/>
    </row>
    <row r="149" ht="14.25" customHeight="1">
      <c r="B149" s="112"/>
    </row>
    <row r="150" ht="14.25" customHeight="1">
      <c r="B150" s="112"/>
    </row>
    <row r="151" ht="14.25" customHeight="1">
      <c r="B151" s="112"/>
    </row>
    <row r="152" ht="14.25" customHeight="1">
      <c r="B152" s="112"/>
    </row>
    <row r="153" ht="14.25" customHeight="1">
      <c r="B153" s="112"/>
    </row>
    <row r="154" ht="14.25" customHeight="1">
      <c r="B154" s="112"/>
    </row>
    <row r="155" ht="14.25" customHeight="1">
      <c r="B155" s="112"/>
    </row>
    <row r="156" ht="14.25" customHeight="1">
      <c r="B156" s="112"/>
    </row>
    <row r="157" ht="14.25" customHeight="1">
      <c r="B157" s="112"/>
    </row>
    <row r="158" ht="14.25" customHeight="1">
      <c r="B158" s="112"/>
    </row>
    <row r="159" ht="14.25" customHeight="1">
      <c r="B159" s="112"/>
    </row>
    <row r="160" ht="14.25" customHeight="1">
      <c r="B160" s="112"/>
    </row>
    <row r="161" ht="14.25" customHeight="1">
      <c r="B161" s="112"/>
    </row>
    <row r="162" ht="14.25" customHeight="1">
      <c r="B162" s="112"/>
    </row>
    <row r="163" ht="14.25" customHeight="1">
      <c r="B163" s="112"/>
    </row>
    <row r="164" ht="14.25" customHeight="1">
      <c r="B164" s="112"/>
    </row>
    <row r="165" ht="14.25" customHeight="1">
      <c r="B165" s="112"/>
    </row>
    <row r="166" ht="14.25" customHeight="1">
      <c r="B166" s="112"/>
    </row>
    <row r="167" ht="14.25" customHeight="1">
      <c r="B167" s="112"/>
    </row>
    <row r="168" ht="14.25" customHeight="1">
      <c r="B168" s="112"/>
    </row>
    <row r="169" ht="14.25" customHeight="1">
      <c r="B169" s="112"/>
    </row>
    <row r="170" ht="14.25" customHeight="1">
      <c r="B170" s="112"/>
    </row>
    <row r="171" ht="14.25" customHeight="1">
      <c r="B171" s="112"/>
    </row>
    <row r="172" ht="14.25" customHeight="1">
      <c r="B172" s="112"/>
    </row>
    <row r="173" ht="14.25" customHeight="1">
      <c r="B173" s="112"/>
    </row>
    <row r="174" ht="14.25" customHeight="1">
      <c r="B174" s="112"/>
    </row>
    <row r="175" ht="14.25" customHeight="1">
      <c r="B175" s="112"/>
    </row>
    <row r="176" ht="14.25" customHeight="1">
      <c r="B176" s="112"/>
    </row>
    <row r="177" ht="14.25" customHeight="1">
      <c r="B177" s="112"/>
    </row>
    <row r="178" ht="14.25" customHeight="1">
      <c r="B178" s="112"/>
    </row>
    <row r="179" ht="14.25" customHeight="1">
      <c r="B179" s="112"/>
    </row>
    <row r="180" ht="14.25" customHeight="1">
      <c r="B180" s="112"/>
    </row>
    <row r="181" ht="14.25" customHeight="1">
      <c r="B181" s="112"/>
    </row>
    <row r="182" ht="14.25" customHeight="1">
      <c r="B182" s="112"/>
    </row>
    <row r="183" ht="14.25" customHeight="1">
      <c r="B183" s="112"/>
    </row>
    <row r="184" ht="14.25" customHeight="1">
      <c r="B184" s="112"/>
    </row>
    <row r="185" ht="14.25" customHeight="1">
      <c r="B185" s="112"/>
    </row>
    <row r="186" ht="14.25" customHeight="1">
      <c r="B186" s="112"/>
    </row>
    <row r="187" ht="14.25" customHeight="1">
      <c r="B187" s="112"/>
    </row>
    <row r="188" ht="14.25" customHeight="1">
      <c r="B188" s="112"/>
    </row>
    <row r="189" ht="14.25" customHeight="1">
      <c r="B189" s="112"/>
    </row>
    <row r="190" ht="14.25" customHeight="1">
      <c r="B190" s="112"/>
    </row>
    <row r="191" ht="14.25" customHeight="1">
      <c r="B191" s="112"/>
    </row>
    <row r="192" ht="14.25" customHeight="1">
      <c r="B192" s="112"/>
    </row>
    <row r="193" ht="14.25" customHeight="1">
      <c r="B193" s="112"/>
    </row>
    <row r="194" ht="14.25" customHeight="1">
      <c r="B194" s="112"/>
    </row>
    <row r="195" ht="14.25" customHeight="1">
      <c r="B195" s="112"/>
    </row>
    <row r="196" ht="14.25" customHeight="1">
      <c r="B196" s="112"/>
    </row>
    <row r="197" ht="14.25" customHeight="1">
      <c r="B197" s="112"/>
    </row>
    <row r="198" ht="14.25" customHeight="1">
      <c r="B198" s="112"/>
    </row>
    <row r="199" ht="14.25" customHeight="1">
      <c r="B199" s="112"/>
    </row>
    <row r="200" ht="14.25" customHeight="1">
      <c r="B200" s="112"/>
    </row>
    <row r="201" ht="14.25" customHeight="1">
      <c r="B201" s="112"/>
    </row>
    <row r="202" ht="14.25" customHeight="1">
      <c r="B202" s="112"/>
    </row>
    <row r="203" ht="14.25" customHeight="1">
      <c r="B203" s="112"/>
    </row>
    <row r="204" ht="14.25" customHeight="1">
      <c r="B204" s="112"/>
    </row>
    <row r="205" ht="14.25" customHeight="1">
      <c r="B205" s="112"/>
    </row>
    <row r="206" ht="14.25" customHeight="1">
      <c r="B206" s="112"/>
    </row>
    <row r="207" ht="14.25" customHeight="1">
      <c r="B207" s="112"/>
    </row>
    <row r="208" ht="14.25" customHeight="1">
      <c r="B208" s="112"/>
    </row>
    <row r="209" ht="14.25" customHeight="1">
      <c r="B209" s="112"/>
    </row>
    <row r="210" ht="14.25" customHeight="1">
      <c r="B210" s="112"/>
    </row>
    <row r="211" ht="14.25" customHeight="1">
      <c r="B211" s="112"/>
    </row>
    <row r="212" ht="14.25" customHeight="1">
      <c r="B212" s="112"/>
    </row>
    <row r="213" ht="14.25" customHeight="1">
      <c r="B213" s="112"/>
    </row>
    <row r="214" ht="14.25" customHeight="1">
      <c r="B214" s="112"/>
    </row>
    <row r="215" ht="14.25" customHeight="1">
      <c r="B215" s="112"/>
    </row>
    <row r="216" ht="14.25" customHeight="1">
      <c r="B216" s="112"/>
    </row>
    <row r="217" ht="14.25" customHeight="1">
      <c r="B217" s="112"/>
    </row>
    <row r="218" ht="14.25" customHeight="1">
      <c r="B218" s="112"/>
    </row>
    <row r="219" ht="14.25" customHeight="1">
      <c r="B219" s="112"/>
    </row>
    <row r="220" ht="14.25" customHeight="1">
      <c r="B220" s="112"/>
    </row>
    <row r="221" ht="14.25" customHeight="1">
      <c r="B221" s="112"/>
    </row>
    <row r="222" ht="14.25" customHeight="1">
      <c r="B222" s="112"/>
    </row>
    <row r="223" ht="14.25" customHeight="1">
      <c r="B223" s="112"/>
    </row>
    <row r="224" ht="14.25" customHeight="1">
      <c r="B224" s="112"/>
    </row>
    <row r="225" ht="14.25" customHeight="1">
      <c r="B225" s="112"/>
    </row>
    <row r="226" ht="14.25" customHeight="1">
      <c r="B226" s="112"/>
    </row>
    <row r="227" ht="14.25" customHeight="1">
      <c r="B227" s="112"/>
    </row>
    <row r="228" ht="14.25" customHeight="1">
      <c r="B228" s="112"/>
    </row>
    <row r="229" ht="14.25" customHeight="1">
      <c r="B229" s="112"/>
    </row>
    <row r="230" ht="14.25" customHeight="1">
      <c r="B230" s="112"/>
    </row>
    <row r="231" ht="14.25" customHeight="1">
      <c r="B231" s="112"/>
    </row>
    <row r="232" ht="14.25" customHeight="1">
      <c r="B232" s="112"/>
    </row>
    <row r="233" ht="14.25" customHeight="1">
      <c r="B233" s="112"/>
    </row>
    <row r="234" ht="14.25" customHeight="1">
      <c r="B234" s="112"/>
    </row>
    <row r="235" ht="14.25" customHeight="1">
      <c r="B235" s="112"/>
    </row>
    <row r="236" ht="14.25" customHeight="1">
      <c r="B236" s="112"/>
    </row>
    <row r="237" ht="14.25" customHeight="1">
      <c r="B237" s="112"/>
    </row>
    <row r="238" ht="14.25" customHeight="1">
      <c r="B238" s="112"/>
    </row>
    <row r="239" ht="14.25" customHeight="1">
      <c r="B239" s="112"/>
    </row>
    <row r="240" ht="14.25" customHeight="1">
      <c r="B240" s="112"/>
    </row>
    <row r="241" ht="14.25" customHeight="1">
      <c r="B241" s="112"/>
    </row>
    <row r="242" ht="14.25" customHeight="1">
      <c r="B242" s="112"/>
    </row>
    <row r="243" ht="14.25" customHeight="1">
      <c r="B243" s="112"/>
    </row>
    <row r="244" ht="14.25" customHeight="1">
      <c r="B244" s="112"/>
    </row>
    <row r="245" ht="14.25" customHeight="1">
      <c r="B245" s="112"/>
    </row>
    <row r="246" ht="14.25" customHeight="1">
      <c r="B246" s="112"/>
    </row>
    <row r="247" ht="14.25" customHeight="1">
      <c r="B247" s="112"/>
    </row>
    <row r="248" ht="14.25" customHeight="1">
      <c r="B248" s="112"/>
    </row>
    <row r="249" ht="14.25" customHeight="1">
      <c r="B249" s="112"/>
    </row>
    <row r="250" ht="14.25" customHeight="1">
      <c r="B250" s="112"/>
    </row>
    <row r="251" ht="14.25" customHeight="1">
      <c r="B251" s="112"/>
    </row>
    <row r="252" ht="14.25" customHeight="1">
      <c r="B252" s="112"/>
    </row>
    <row r="253" ht="14.25" customHeight="1">
      <c r="B253" s="112"/>
    </row>
    <row r="254" ht="14.25" customHeight="1">
      <c r="B254" s="112"/>
    </row>
    <row r="255" ht="14.25" customHeight="1">
      <c r="B255" s="112"/>
    </row>
    <row r="256" ht="14.25" customHeight="1">
      <c r="B256" s="112"/>
    </row>
    <row r="257" ht="14.25" customHeight="1">
      <c r="B257" s="112"/>
    </row>
    <row r="258" ht="14.25" customHeight="1">
      <c r="B258" s="112"/>
    </row>
    <row r="259" ht="14.25" customHeight="1">
      <c r="B259" s="112"/>
    </row>
    <row r="260" ht="14.25" customHeight="1">
      <c r="B260" s="112"/>
    </row>
    <row r="261" ht="14.25" customHeight="1">
      <c r="B261" s="112"/>
    </row>
    <row r="262" ht="14.25" customHeight="1">
      <c r="B262" s="112"/>
    </row>
    <row r="263" ht="14.25" customHeight="1">
      <c r="B263" s="112"/>
    </row>
    <row r="264" ht="14.25" customHeight="1">
      <c r="B264" s="112"/>
    </row>
    <row r="265" ht="14.25" customHeight="1">
      <c r="B265" s="112"/>
    </row>
    <row r="266" ht="14.25" customHeight="1">
      <c r="B266" s="112"/>
    </row>
    <row r="267" ht="14.25" customHeight="1">
      <c r="B267" s="112"/>
    </row>
    <row r="268" ht="14.25" customHeight="1">
      <c r="B268" s="112"/>
    </row>
    <row r="269" ht="14.25" customHeight="1">
      <c r="B269" s="112"/>
    </row>
    <row r="270" ht="14.25" customHeight="1">
      <c r="B270" s="112"/>
    </row>
    <row r="271" ht="14.25" customHeight="1">
      <c r="B271" s="112"/>
    </row>
    <row r="272" ht="14.25" customHeight="1">
      <c r="B272" s="112"/>
    </row>
    <row r="273" ht="14.25" customHeight="1">
      <c r="B273" s="112"/>
    </row>
    <row r="274" ht="14.25" customHeight="1">
      <c r="B274" s="112"/>
    </row>
    <row r="275" ht="14.25" customHeight="1">
      <c r="B275" s="112"/>
    </row>
    <row r="276" ht="14.25" customHeight="1">
      <c r="B276" s="112"/>
    </row>
    <row r="277" ht="14.25" customHeight="1">
      <c r="B277" s="112"/>
    </row>
    <row r="278" ht="14.25" customHeight="1">
      <c r="B278" s="112"/>
    </row>
    <row r="279" ht="14.25" customHeight="1">
      <c r="B279" s="112"/>
    </row>
    <row r="280" ht="14.25" customHeight="1">
      <c r="B280" s="112"/>
    </row>
    <row r="281" ht="14.25" customHeight="1">
      <c r="B281" s="112"/>
    </row>
    <row r="282" ht="14.25" customHeight="1">
      <c r="B282" s="112"/>
    </row>
    <row r="283" ht="14.25" customHeight="1">
      <c r="B283" s="112"/>
    </row>
    <row r="284" ht="14.25" customHeight="1">
      <c r="B284" s="112"/>
    </row>
    <row r="285" ht="14.25" customHeight="1">
      <c r="B285" s="112"/>
    </row>
    <row r="286" ht="14.25" customHeight="1">
      <c r="B286" s="112"/>
    </row>
    <row r="287" ht="14.25" customHeight="1">
      <c r="B287" s="112"/>
    </row>
    <row r="288" ht="14.25" customHeight="1">
      <c r="B288" s="112"/>
    </row>
    <row r="289" ht="14.25" customHeight="1">
      <c r="B289" s="112"/>
    </row>
    <row r="290" ht="14.25" customHeight="1">
      <c r="B290" s="112"/>
    </row>
    <row r="291" ht="14.25" customHeight="1">
      <c r="B291" s="112"/>
    </row>
    <row r="292" ht="14.25" customHeight="1">
      <c r="B292" s="112"/>
    </row>
    <row r="293" ht="14.25" customHeight="1">
      <c r="B293" s="112"/>
    </row>
    <row r="294" ht="14.25" customHeight="1">
      <c r="B294" s="112"/>
    </row>
    <row r="295" ht="14.25" customHeight="1">
      <c r="B295" s="112"/>
    </row>
    <row r="296" ht="14.25" customHeight="1">
      <c r="B296" s="112"/>
    </row>
    <row r="297" ht="14.25" customHeight="1">
      <c r="B297" s="112"/>
    </row>
    <row r="298" ht="14.25" customHeight="1">
      <c r="B298" s="112"/>
    </row>
    <row r="299" ht="14.25" customHeight="1">
      <c r="B299" s="112"/>
    </row>
    <row r="300" ht="14.25" customHeight="1">
      <c r="B300" s="112"/>
    </row>
    <row r="301" ht="14.25" customHeight="1">
      <c r="B301" s="112"/>
    </row>
    <row r="302" ht="14.25" customHeight="1">
      <c r="B302" s="112"/>
    </row>
    <row r="303" ht="14.25" customHeight="1">
      <c r="B303" s="112"/>
    </row>
    <row r="304" ht="14.25" customHeight="1">
      <c r="B304" s="112"/>
    </row>
    <row r="305" ht="14.25" customHeight="1">
      <c r="B305" s="112"/>
    </row>
    <row r="306" ht="14.25" customHeight="1">
      <c r="B306" s="112"/>
    </row>
    <row r="307" ht="14.25" customHeight="1">
      <c r="B307" s="112"/>
    </row>
    <row r="308" ht="14.25" customHeight="1">
      <c r="B308" s="112"/>
    </row>
    <row r="309" ht="14.25" customHeight="1">
      <c r="B309" s="112"/>
    </row>
    <row r="310" ht="14.25" customHeight="1">
      <c r="B310" s="112"/>
    </row>
    <row r="311" ht="14.25" customHeight="1">
      <c r="B311" s="112"/>
    </row>
    <row r="312" ht="14.25" customHeight="1">
      <c r="B312" s="112"/>
    </row>
    <row r="313" ht="14.25" customHeight="1">
      <c r="B313" s="112"/>
    </row>
    <row r="314" ht="14.25" customHeight="1">
      <c r="B314" s="112"/>
    </row>
    <row r="315" ht="14.25" customHeight="1">
      <c r="B315" s="112"/>
    </row>
    <row r="316" ht="14.25" customHeight="1">
      <c r="B316" s="112"/>
    </row>
    <row r="317" ht="14.25" customHeight="1">
      <c r="B317" s="112"/>
    </row>
    <row r="318" ht="14.25" customHeight="1">
      <c r="B318" s="112"/>
    </row>
    <row r="319" ht="14.25" customHeight="1">
      <c r="B319" s="112"/>
    </row>
    <row r="320" ht="14.25" customHeight="1">
      <c r="B320" s="112"/>
    </row>
    <row r="321" ht="14.25" customHeight="1">
      <c r="B321" s="112"/>
    </row>
    <row r="322" ht="14.25" customHeight="1">
      <c r="B322" s="112"/>
    </row>
    <row r="323" ht="14.25" customHeight="1">
      <c r="B323" s="112"/>
    </row>
    <row r="324" ht="14.25" customHeight="1">
      <c r="B324" s="112"/>
    </row>
    <row r="325" ht="14.25" customHeight="1">
      <c r="B325" s="112"/>
    </row>
    <row r="326" ht="14.25" customHeight="1">
      <c r="B326" s="112"/>
    </row>
    <row r="327" ht="14.25" customHeight="1">
      <c r="B327" s="112"/>
    </row>
    <row r="328" ht="14.25" customHeight="1">
      <c r="B328" s="112"/>
    </row>
    <row r="329" ht="14.25" customHeight="1">
      <c r="B329" s="112"/>
    </row>
    <row r="330" ht="14.25" customHeight="1">
      <c r="B330" s="112"/>
    </row>
    <row r="331" ht="14.25" customHeight="1">
      <c r="B331" s="112"/>
    </row>
    <row r="332" ht="14.25" customHeight="1">
      <c r="B332" s="112"/>
    </row>
    <row r="333" ht="14.25" customHeight="1">
      <c r="B333" s="112"/>
    </row>
    <row r="334" ht="14.25" customHeight="1">
      <c r="B334" s="112"/>
    </row>
    <row r="335" ht="14.25" customHeight="1">
      <c r="B335" s="112"/>
    </row>
    <row r="336" ht="14.25" customHeight="1">
      <c r="B336" s="112"/>
    </row>
    <row r="337" ht="14.25" customHeight="1">
      <c r="B337" s="112"/>
    </row>
    <row r="338" ht="14.25" customHeight="1">
      <c r="B338" s="112"/>
    </row>
    <row r="339" ht="14.25" customHeight="1">
      <c r="B339" s="112"/>
    </row>
    <row r="340" ht="14.25" customHeight="1">
      <c r="B340" s="112"/>
    </row>
    <row r="341" ht="14.25" customHeight="1">
      <c r="B341" s="112"/>
    </row>
    <row r="342" ht="14.25" customHeight="1">
      <c r="B342" s="112"/>
    </row>
    <row r="343" ht="14.25" customHeight="1">
      <c r="B343" s="112"/>
    </row>
    <row r="344" ht="14.25" customHeight="1">
      <c r="B344" s="112"/>
    </row>
    <row r="345" ht="14.25" customHeight="1">
      <c r="B345" s="112"/>
    </row>
    <row r="346" ht="14.25" customHeight="1">
      <c r="B346" s="112"/>
    </row>
    <row r="347" ht="14.25" customHeight="1">
      <c r="B347" s="112"/>
    </row>
    <row r="348" ht="14.25" customHeight="1">
      <c r="B348" s="112"/>
    </row>
    <row r="349" ht="14.25" customHeight="1">
      <c r="B349" s="112"/>
    </row>
    <row r="350" ht="14.25" customHeight="1">
      <c r="B350" s="112"/>
    </row>
    <row r="351" ht="14.25" customHeight="1">
      <c r="B351" s="112"/>
    </row>
    <row r="352" ht="14.25" customHeight="1">
      <c r="B352" s="112"/>
    </row>
    <row r="353" ht="14.25" customHeight="1">
      <c r="B353" s="112"/>
    </row>
    <row r="354" ht="14.25" customHeight="1">
      <c r="B354" s="112"/>
    </row>
    <row r="355" ht="14.25" customHeight="1">
      <c r="B355" s="112"/>
    </row>
    <row r="356" ht="14.25" customHeight="1">
      <c r="B356" s="112"/>
    </row>
    <row r="357" ht="14.25" customHeight="1">
      <c r="B357" s="112"/>
    </row>
    <row r="358" ht="14.25" customHeight="1">
      <c r="B358" s="112"/>
    </row>
    <row r="359" ht="14.25" customHeight="1">
      <c r="B359" s="112"/>
    </row>
    <row r="360" ht="14.25" customHeight="1">
      <c r="B360" s="112"/>
    </row>
    <row r="361" ht="14.25" customHeight="1">
      <c r="B361" s="112"/>
    </row>
    <row r="362" ht="14.25" customHeight="1">
      <c r="B362" s="112"/>
    </row>
    <row r="363" ht="14.25" customHeight="1">
      <c r="B363" s="112"/>
    </row>
    <row r="364" ht="14.25" customHeight="1">
      <c r="B364" s="112"/>
    </row>
    <row r="365" ht="14.25" customHeight="1">
      <c r="B365" s="112"/>
    </row>
    <row r="366" ht="14.25" customHeight="1">
      <c r="B366" s="112"/>
    </row>
    <row r="367" ht="14.25" customHeight="1">
      <c r="B367" s="112"/>
    </row>
    <row r="368" ht="14.25" customHeight="1">
      <c r="B368" s="112"/>
    </row>
    <row r="369" ht="14.25" customHeight="1">
      <c r="B369" s="112"/>
    </row>
    <row r="370" ht="14.25" customHeight="1">
      <c r="B370" s="112"/>
    </row>
    <row r="371" ht="14.25" customHeight="1">
      <c r="B371" s="112"/>
    </row>
    <row r="372" ht="14.25" customHeight="1">
      <c r="B372" s="112"/>
    </row>
    <row r="373" ht="14.25" customHeight="1">
      <c r="B373" s="112"/>
    </row>
    <row r="374" ht="14.25" customHeight="1">
      <c r="B374" s="112"/>
    </row>
    <row r="375" ht="14.25" customHeight="1">
      <c r="B375" s="112"/>
    </row>
    <row r="376" ht="14.25" customHeight="1">
      <c r="B376" s="112"/>
    </row>
    <row r="377" ht="14.25" customHeight="1">
      <c r="B377" s="112"/>
    </row>
    <row r="378" ht="14.25" customHeight="1">
      <c r="B378" s="112"/>
    </row>
    <row r="379" ht="14.25" customHeight="1">
      <c r="B379" s="112"/>
    </row>
    <row r="380" ht="14.25" customHeight="1">
      <c r="B380" s="112"/>
    </row>
    <row r="381" ht="14.25" customHeight="1">
      <c r="B381" s="112"/>
    </row>
    <row r="382" ht="14.25" customHeight="1">
      <c r="B382" s="112"/>
    </row>
    <row r="383" ht="14.25" customHeight="1">
      <c r="B383" s="112"/>
    </row>
    <row r="384" ht="14.25" customHeight="1">
      <c r="B384" s="112"/>
    </row>
    <row r="385" ht="14.25" customHeight="1">
      <c r="B385" s="112"/>
    </row>
    <row r="386" ht="14.25" customHeight="1">
      <c r="B386" s="112"/>
    </row>
    <row r="387" ht="14.25" customHeight="1">
      <c r="B387" s="112"/>
    </row>
    <row r="388" ht="14.25" customHeight="1">
      <c r="B388" s="112"/>
    </row>
    <row r="389" ht="14.25" customHeight="1">
      <c r="B389" s="112"/>
    </row>
    <row r="390" ht="14.25" customHeight="1">
      <c r="B390" s="112"/>
    </row>
    <row r="391" ht="14.25" customHeight="1">
      <c r="B391" s="112"/>
    </row>
    <row r="392" ht="14.25" customHeight="1">
      <c r="B392" s="112"/>
    </row>
    <row r="393" ht="14.25" customHeight="1">
      <c r="B393" s="112"/>
    </row>
    <row r="394" ht="14.25" customHeight="1">
      <c r="B394" s="112"/>
    </row>
    <row r="395" ht="14.25" customHeight="1">
      <c r="B395" s="112"/>
    </row>
    <row r="396" ht="14.25" customHeight="1">
      <c r="B396" s="112"/>
    </row>
    <row r="397" ht="14.25" customHeight="1">
      <c r="B397" s="112"/>
    </row>
    <row r="398" ht="14.25" customHeight="1">
      <c r="B398" s="112"/>
    </row>
    <row r="399" ht="14.25" customHeight="1">
      <c r="B399" s="112"/>
    </row>
    <row r="400" ht="14.25" customHeight="1">
      <c r="B400" s="112"/>
    </row>
    <row r="401" ht="14.25" customHeight="1">
      <c r="B401" s="112"/>
    </row>
    <row r="402" ht="14.25" customHeight="1">
      <c r="B402" s="112"/>
    </row>
    <row r="403" ht="14.25" customHeight="1">
      <c r="B403" s="112"/>
    </row>
    <row r="404" ht="14.25" customHeight="1">
      <c r="B404" s="112"/>
    </row>
    <row r="405" ht="14.25" customHeight="1">
      <c r="B405" s="112"/>
    </row>
    <row r="406" ht="14.25" customHeight="1">
      <c r="B406" s="112"/>
    </row>
    <row r="407" ht="14.25" customHeight="1">
      <c r="B407" s="112"/>
    </row>
    <row r="408" ht="14.25" customHeight="1">
      <c r="B408" s="112"/>
    </row>
    <row r="409" ht="14.25" customHeight="1">
      <c r="B409" s="112"/>
    </row>
    <row r="410" ht="14.25" customHeight="1">
      <c r="B410" s="112"/>
    </row>
    <row r="411" ht="14.25" customHeight="1">
      <c r="B411" s="112"/>
    </row>
    <row r="412" ht="14.25" customHeight="1">
      <c r="B412" s="112"/>
    </row>
    <row r="413" ht="14.25" customHeight="1">
      <c r="B413" s="112"/>
    </row>
    <row r="414" ht="14.25" customHeight="1">
      <c r="B414" s="112"/>
    </row>
    <row r="415" ht="14.25" customHeight="1">
      <c r="B415" s="112"/>
    </row>
    <row r="416" ht="14.25" customHeight="1">
      <c r="B416" s="112"/>
    </row>
    <row r="417" ht="14.25" customHeight="1">
      <c r="B417" s="112"/>
    </row>
    <row r="418" ht="14.25" customHeight="1">
      <c r="B418" s="112"/>
    </row>
    <row r="419" ht="14.25" customHeight="1">
      <c r="B419" s="112"/>
    </row>
    <row r="420" ht="14.25" customHeight="1">
      <c r="B420" s="112"/>
    </row>
    <row r="421" ht="14.25" customHeight="1">
      <c r="B421" s="112"/>
    </row>
    <row r="422" ht="14.25" customHeight="1">
      <c r="B422" s="112"/>
    </row>
    <row r="423" ht="14.25" customHeight="1">
      <c r="B423" s="112"/>
    </row>
    <row r="424" ht="14.25" customHeight="1">
      <c r="B424" s="112"/>
    </row>
    <row r="425" ht="14.25" customHeight="1">
      <c r="B425" s="112"/>
    </row>
    <row r="426" ht="14.25" customHeight="1">
      <c r="B426" s="112"/>
    </row>
    <row r="427" ht="14.25" customHeight="1">
      <c r="B427" s="112"/>
    </row>
    <row r="428" ht="14.25" customHeight="1">
      <c r="B428" s="112"/>
    </row>
    <row r="429" ht="14.25" customHeight="1">
      <c r="B429" s="112"/>
    </row>
    <row r="430" ht="14.25" customHeight="1">
      <c r="B430" s="112"/>
    </row>
    <row r="431" ht="14.25" customHeight="1">
      <c r="B431" s="112"/>
    </row>
    <row r="432" ht="14.25" customHeight="1">
      <c r="B432" s="112"/>
    </row>
    <row r="433" ht="14.25" customHeight="1">
      <c r="B433" s="112"/>
    </row>
    <row r="434" ht="14.25" customHeight="1">
      <c r="B434" s="112"/>
    </row>
    <row r="435" ht="14.25" customHeight="1">
      <c r="B435" s="112"/>
    </row>
    <row r="436" ht="14.25" customHeight="1">
      <c r="B436" s="112"/>
    </row>
    <row r="437" ht="14.25" customHeight="1">
      <c r="B437" s="112"/>
    </row>
    <row r="438" ht="14.25" customHeight="1">
      <c r="B438" s="112"/>
    </row>
    <row r="439" ht="14.25" customHeight="1">
      <c r="B439" s="112"/>
    </row>
    <row r="440" ht="14.25" customHeight="1">
      <c r="B440" s="112"/>
    </row>
    <row r="441" ht="14.25" customHeight="1">
      <c r="B441" s="112"/>
    </row>
    <row r="442" ht="14.25" customHeight="1">
      <c r="B442" s="112"/>
    </row>
    <row r="443" ht="14.25" customHeight="1">
      <c r="B443" s="112"/>
    </row>
    <row r="444" ht="14.25" customHeight="1">
      <c r="B444" s="112"/>
    </row>
    <row r="445" ht="14.25" customHeight="1">
      <c r="B445" s="112"/>
    </row>
    <row r="446" ht="14.25" customHeight="1">
      <c r="B446" s="112"/>
    </row>
    <row r="447" ht="14.25" customHeight="1">
      <c r="B447" s="112"/>
    </row>
    <row r="448" ht="14.25" customHeight="1">
      <c r="B448" s="112"/>
    </row>
    <row r="449" ht="14.25" customHeight="1">
      <c r="B449" s="112"/>
    </row>
    <row r="450" ht="14.25" customHeight="1">
      <c r="B450" s="112"/>
    </row>
    <row r="451" ht="14.25" customHeight="1">
      <c r="B451" s="112"/>
    </row>
    <row r="452" ht="14.25" customHeight="1">
      <c r="B452" s="112"/>
    </row>
    <row r="453" ht="14.25" customHeight="1">
      <c r="B453" s="112"/>
    </row>
    <row r="454" ht="14.25" customHeight="1">
      <c r="B454" s="112"/>
    </row>
    <row r="455" ht="14.25" customHeight="1">
      <c r="B455" s="112"/>
    </row>
    <row r="456" ht="14.25" customHeight="1">
      <c r="B456" s="112"/>
    </row>
    <row r="457" ht="14.25" customHeight="1">
      <c r="B457" s="112"/>
    </row>
    <row r="458" ht="14.25" customHeight="1">
      <c r="B458" s="112"/>
    </row>
    <row r="459" ht="14.25" customHeight="1">
      <c r="B459" s="112"/>
    </row>
    <row r="460" ht="14.25" customHeight="1">
      <c r="B460" s="112"/>
    </row>
    <row r="461" ht="14.25" customHeight="1">
      <c r="B461" s="112"/>
    </row>
    <row r="462" ht="14.25" customHeight="1">
      <c r="B462" s="112"/>
    </row>
    <row r="463" ht="14.25" customHeight="1">
      <c r="B463" s="112"/>
    </row>
    <row r="464" ht="14.25" customHeight="1">
      <c r="B464" s="112"/>
    </row>
    <row r="465" ht="14.25" customHeight="1">
      <c r="B465" s="112"/>
    </row>
    <row r="466" ht="14.25" customHeight="1">
      <c r="B466" s="112"/>
    </row>
    <row r="467" ht="14.25" customHeight="1">
      <c r="B467" s="112"/>
    </row>
    <row r="468" ht="14.25" customHeight="1">
      <c r="B468" s="112"/>
    </row>
    <row r="469" ht="14.25" customHeight="1">
      <c r="B469" s="112"/>
    </row>
    <row r="470" ht="14.25" customHeight="1">
      <c r="B470" s="112"/>
    </row>
    <row r="471" ht="14.25" customHeight="1">
      <c r="B471" s="112"/>
    </row>
    <row r="472" ht="14.25" customHeight="1">
      <c r="B472" s="112"/>
    </row>
    <row r="473" ht="14.25" customHeight="1">
      <c r="B473" s="112"/>
    </row>
    <row r="474" ht="14.25" customHeight="1">
      <c r="B474" s="112"/>
    </row>
    <row r="475" ht="14.25" customHeight="1">
      <c r="B475" s="112"/>
    </row>
    <row r="476" ht="14.25" customHeight="1">
      <c r="B476" s="112"/>
    </row>
    <row r="477" ht="14.25" customHeight="1">
      <c r="B477" s="112"/>
    </row>
    <row r="478" ht="14.25" customHeight="1">
      <c r="B478" s="112"/>
    </row>
    <row r="479" ht="14.25" customHeight="1">
      <c r="B479" s="112"/>
    </row>
    <row r="480" ht="14.25" customHeight="1">
      <c r="B480" s="112"/>
    </row>
    <row r="481" ht="14.25" customHeight="1">
      <c r="B481" s="112"/>
    </row>
    <row r="482" ht="14.25" customHeight="1">
      <c r="B482" s="112"/>
    </row>
    <row r="483" ht="14.25" customHeight="1">
      <c r="B483" s="112"/>
    </row>
    <row r="484" ht="14.25" customHeight="1">
      <c r="B484" s="112"/>
    </row>
    <row r="485" ht="14.25" customHeight="1">
      <c r="B485" s="112"/>
    </row>
    <row r="486" ht="14.25" customHeight="1">
      <c r="B486" s="112"/>
    </row>
    <row r="487" ht="14.25" customHeight="1">
      <c r="B487" s="112"/>
    </row>
    <row r="488" ht="14.25" customHeight="1">
      <c r="B488" s="112"/>
    </row>
    <row r="489" ht="14.25" customHeight="1">
      <c r="B489" s="112"/>
    </row>
    <row r="490" ht="14.25" customHeight="1">
      <c r="B490" s="112"/>
    </row>
    <row r="491" ht="14.25" customHeight="1">
      <c r="B491" s="112"/>
    </row>
    <row r="492" ht="14.25" customHeight="1">
      <c r="B492" s="112"/>
    </row>
    <row r="493" ht="14.25" customHeight="1">
      <c r="B493" s="112"/>
    </row>
    <row r="494" ht="14.25" customHeight="1">
      <c r="B494" s="112"/>
    </row>
    <row r="495" ht="14.25" customHeight="1">
      <c r="B495" s="112"/>
    </row>
    <row r="496" ht="14.25" customHeight="1">
      <c r="B496" s="112"/>
    </row>
    <row r="497" ht="14.25" customHeight="1">
      <c r="B497" s="112"/>
    </row>
    <row r="498" ht="14.25" customHeight="1">
      <c r="B498" s="112"/>
    </row>
    <row r="499" ht="14.25" customHeight="1">
      <c r="B499" s="112"/>
    </row>
    <row r="500" ht="14.25" customHeight="1">
      <c r="B500" s="112"/>
    </row>
    <row r="501" ht="14.25" customHeight="1">
      <c r="B501" s="112"/>
    </row>
    <row r="502" ht="14.25" customHeight="1">
      <c r="B502" s="112"/>
    </row>
    <row r="503" ht="14.25" customHeight="1">
      <c r="B503" s="112"/>
    </row>
    <row r="504" ht="14.25" customHeight="1">
      <c r="B504" s="112"/>
    </row>
    <row r="505" ht="14.25" customHeight="1">
      <c r="B505" s="112"/>
    </row>
    <row r="506" ht="14.25" customHeight="1">
      <c r="B506" s="112"/>
    </row>
    <row r="507" ht="14.25" customHeight="1">
      <c r="B507" s="112"/>
    </row>
    <row r="508" ht="14.25" customHeight="1">
      <c r="B508" s="112"/>
    </row>
    <row r="509" ht="14.25" customHeight="1">
      <c r="B509" s="112"/>
    </row>
    <row r="510" ht="14.25" customHeight="1">
      <c r="B510" s="112"/>
    </row>
    <row r="511" ht="14.25" customHeight="1">
      <c r="B511" s="112"/>
    </row>
    <row r="512" ht="14.25" customHeight="1">
      <c r="B512" s="112"/>
    </row>
    <row r="513" ht="14.25" customHeight="1">
      <c r="B513" s="112"/>
    </row>
    <row r="514" ht="14.25" customHeight="1">
      <c r="B514" s="112"/>
    </row>
    <row r="515" ht="14.25" customHeight="1">
      <c r="B515" s="112"/>
    </row>
    <row r="516" ht="14.25" customHeight="1">
      <c r="B516" s="112"/>
    </row>
    <row r="517" ht="14.25" customHeight="1">
      <c r="B517" s="112"/>
    </row>
    <row r="518" ht="14.25" customHeight="1">
      <c r="B518" s="112"/>
    </row>
    <row r="519" ht="14.25" customHeight="1">
      <c r="B519" s="112"/>
    </row>
    <row r="520" ht="14.25" customHeight="1">
      <c r="B520" s="112"/>
    </row>
    <row r="521" ht="14.25" customHeight="1">
      <c r="B521" s="112"/>
    </row>
    <row r="522" ht="14.25" customHeight="1">
      <c r="B522" s="112"/>
    </row>
    <row r="523" ht="14.25" customHeight="1">
      <c r="B523" s="112"/>
    </row>
    <row r="524" ht="14.25" customHeight="1">
      <c r="B524" s="112"/>
    </row>
    <row r="525" ht="14.25" customHeight="1">
      <c r="B525" s="112"/>
    </row>
    <row r="526" ht="14.25" customHeight="1">
      <c r="B526" s="112"/>
    </row>
    <row r="527" ht="14.25" customHeight="1">
      <c r="B527" s="112"/>
    </row>
    <row r="528" ht="14.25" customHeight="1">
      <c r="B528" s="112"/>
    </row>
    <row r="529" ht="14.25" customHeight="1">
      <c r="B529" s="112"/>
    </row>
    <row r="530" ht="14.25" customHeight="1">
      <c r="B530" s="112"/>
    </row>
    <row r="531" ht="14.25" customHeight="1">
      <c r="B531" s="112"/>
    </row>
    <row r="532" ht="14.25" customHeight="1">
      <c r="B532" s="112"/>
    </row>
    <row r="533" ht="14.25" customHeight="1">
      <c r="B533" s="112"/>
    </row>
    <row r="534" ht="14.25" customHeight="1">
      <c r="B534" s="112"/>
    </row>
    <row r="535" ht="14.25" customHeight="1">
      <c r="B535" s="112"/>
    </row>
    <row r="536" ht="14.25" customHeight="1">
      <c r="B536" s="112"/>
    </row>
    <row r="537" ht="14.25" customHeight="1">
      <c r="B537" s="112"/>
    </row>
    <row r="538" ht="14.25" customHeight="1">
      <c r="B538" s="112"/>
    </row>
    <row r="539" ht="14.25" customHeight="1">
      <c r="B539" s="112"/>
    </row>
    <row r="540" ht="14.25" customHeight="1">
      <c r="B540" s="112"/>
    </row>
    <row r="541" ht="14.25" customHeight="1">
      <c r="B541" s="112"/>
    </row>
    <row r="542" ht="14.25" customHeight="1">
      <c r="B542" s="112"/>
    </row>
    <row r="543" ht="14.25" customHeight="1">
      <c r="B543" s="112"/>
    </row>
    <row r="544" ht="14.25" customHeight="1">
      <c r="B544" s="112"/>
    </row>
    <row r="545" ht="14.25" customHeight="1">
      <c r="B545" s="112"/>
    </row>
    <row r="546" ht="14.25" customHeight="1">
      <c r="B546" s="112"/>
    </row>
    <row r="547" ht="14.25" customHeight="1">
      <c r="B547" s="112"/>
    </row>
    <row r="548" ht="14.25" customHeight="1">
      <c r="B548" s="112"/>
    </row>
    <row r="549" ht="14.25" customHeight="1">
      <c r="B549" s="112"/>
    </row>
    <row r="550" ht="14.25" customHeight="1">
      <c r="B550" s="112"/>
    </row>
    <row r="551" ht="14.25" customHeight="1">
      <c r="B551" s="112"/>
    </row>
    <row r="552" ht="14.25" customHeight="1">
      <c r="B552" s="112"/>
    </row>
    <row r="553" ht="14.25" customHeight="1">
      <c r="B553" s="112"/>
    </row>
    <row r="554" ht="14.25" customHeight="1">
      <c r="B554" s="112"/>
    </row>
    <row r="555" ht="14.25" customHeight="1">
      <c r="B555" s="112"/>
    </row>
    <row r="556" ht="14.25" customHeight="1">
      <c r="B556" s="112"/>
    </row>
    <row r="557" ht="14.25" customHeight="1">
      <c r="B557" s="112"/>
    </row>
    <row r="558" ht="14.25" customHeight="1">
      <c r="B558" s="112"/>
    </row>
    <row r="559" ht="14.25" customHeight="1">
      <c r="B559" s="112"/>
    </row>
    <row r="560" ht="14.25" customHeight="1">
      <c r="B560" s="112"/>
    </row>
    <row r="561" ht="14.25" customHeight="1">
      <c r="B561" s="112"/>
    </row>
    <row r="562" ht="14.25" customHeight="1">
      <c r="B562" s="112"/>
    </row>
    <row r="563" ht="14.25" customHeight="1">
      <c r="B563" s="112"/>
    </row>
    <row r="564" ht="14.25" customHeight="1">
      <c r="B564" s="112"/>
    </row>
    <row r="565" ht="14.25" customHeight="1">
      <c r="B565" s="112"/>
    </row>
    <row r="566" ht="14.25" customHeight="1">
      <c r="B566" s="112"/>
    </row>
    <row r="567" ht="14.25" customHeight="1">
      <c r="B567" s="112"/>
    </row>
    <row r="568" ht="14.25" customHeight="1">
      <c r="B568" s="112"/>
    </row>
    <row r="569" ht="14.25" customHeight="1">
      <c r="B569" s="112"/>
    </row>
    <row r="570" ht="14.25" customHeight="1">
      <c r="B570" s="112"/>
    </row>
    <row r="571" ht="14.25" customHeight="1">
      <c r="B571" s="112"/>
    </row>
    <row r="572" ht="14.25" customHeight="1">
      <c r="B572" s="112"/>
    </row>
    <row r="573" ht="14.25" customHeight="1">
      <c r="B573" s="112"/>
    </row>
    <row r="574" ht="14.25" customHeight="1">
      <c r="B574" s="112"/>
    </row>
    <row r="575" ht="14.25" customHeight="1">
      <c r="B575" s="112"/>
    </row>
    <row r="576" ht="14.25" customHeight="1">
      <c r="B576" s="112"/>
    </row>
    <row r="577" ht="14.25" customHeight="1">
      <c r="B577" s="112"/>
    </row>
    <row r="578" ht="14.25" customHeight="1">
      <c r="B578" s="112"/>
    </row>
    <row r="579" ht="14.25" customHeight="1">
      <c r="B579" s="112"/>
    </row>
    <row r="580" ht="14.25" customHeight="1">
      <c r="B580" s="112"/>
    </row>
    <row r="581" ht="14.25" customHeight="1">
      <c r="B581" s="112"/>
    </row>
    <row r="582" ht="14.25" customHeight="1">
      <c r="B582" s="112"/>
    </row>
    <row r="583" ht="14.25" customHeight="1">
      <c r="B583" s="112"/>
    </row>
    <row r="584" ht="14.25" customHeight="1">
      <c r="B584" s="112"/>
    </row>
    <row r="585" ht="14.25" customHeight="1">
      <c r="B585" s="112"/>
    </row>
    <row r="586" ht="14.25" customHeight="1">
      <c r="B586" s="112"/>
    </row>
    <row r="587" ht="14.25" customHeight="1">
      <c r="B587" s="112"/>
    </row>
    <row r="588" ht="14.25" customHeight="1">
      <c r="B588" s="112"/>
    </row>
    <row r="589" ht="14.25" customHeight="1">
      <c r="B589" s="112"/>
    </row>
    <row r="590" ht="14.25" customHeight="1">
      <c r="B590" s="112"/>
    </row>
    <row r="591" ht="14.25" customHeight="1">
      <c r="B591" s="112"/>
    </row>
    <row r="592" ht="14.25" customHeight="1">
      <c r="B592" s="112"/>
    </row>
    <row r="593" ht="14.25" customHeight="1">
      <c r="B593" s="112"/>
    </row>
    <row r="594" ht="14.25" customHeight="1">
      <c r="B594" s="112"/>
    </row>
    <row r="595" ht="14.25" customHeight="1">
      <c r="B595" s="112"/>
    </row>
    <row r="596" ht="14.25" customHeight="1">
      <c r="B596" s="112"/>
    </row>
    <row r="597" ht="14.25" customHeight="1">
      <c r="B597" s="112"/>
    </row>
    <row r="598" ht="14.25" customHeight="1">
      <c r="B598" s="112"/>
    </row>
    <row r="599" ht="14.25" customHeight="1">
      <c r="B599" s="112"/>
    </row>
    <row r="600" ht="14.25" customHeight="1">
      <c r="B600" s="112"/>
    </row>
    <row r="601" ht="14.25" customHeight="1">
      <c r="B601" s="112"/>
    </row>
    <row r="602" ht="14.25" customHeight="1">
      <c r="B602" s="112"/>
    </row>
    <row r="603" ht="14.25" customHeight="1">
      <c r="B603" s="112"/>
    </row>
    <row r="604" ht="14.25" customHeight="1">
      <c r="B604" s="112"/>
    </row>
    <row r="605" ht="14.25" customHeight="1">
      <c r="B605" s="112"/>
    </row>
    <row r="606" ht="14.25" customHeight="1">
      <c r="B606" s="112"/>
    </row>
    <row r="607" ht="14.25" customHeight="1">
      <c r="B607" s="112"/>
    </row>
    <row r="608" ht="14.25" customHeight="1">
      <c r="B608" s="112"/>
    </row>
    <row r="609" ht="14.25" customHeight="1">
      <c r="B609" s="112"/>
    </row>
    <row r="610" ht="14.25" customHeight="1">
      <c r="B610" s="112"/>
    </row>
    <row r="611" ht="14.25" customHeight="1">
      <c r="B611" s="112"/>
    </row>
    <row r="612" ht="14.25" customHeight="1">
      <c r="B612" s="112"/>
    </row>
    <row r="613" ht="14.25" customHeight="1">
      <c r="B613" s="112"/>
    </row>
    <row r="614" ht="14.25" customHeight="1">
      <c r="B614" s="112"/>
    </row>
    <row r="615" ht="14.25" customHeight="1">
      <c r="B615" s="112"/>
    </row>
    <row r="616" ht="14.25" customHeight="1">
      <c r="B616" s="112"/>
    </row>
    <row r="617" ht="14.25" customHeight="1">
      <c r="B617" s="112"/>
    </row>
    <row r="618" ht="14.25" customHeight="1">
      <c r="B618" s="112"/>
    </row>
    <row r="619" ht="14.25" customHeight="1">
      <c r="B619" s="112"/>
    </row>
    <row r="620" ht="14.25" customHeight="1">
      <c r="B620" s="112"/>
    </row>
    <row r="621" ht="14.25" customHeight="1">
      <c r="B621" s="112"/>
    </row>
    <row r="622" ht="14.25" customHeight="1">
      <c r="B622" s="112"/>
    </row>
    <row r="623" ht="14.25" customHeight="1">
      <c r="B623" s="112"/>
    </row>
    <row r="624" ht="14.25" customHeight="1">
      <c r="B624" s="112"/>
    </row>
    <row r="625" ht="14.25" customHeight="1">
      <c r="B625" s="112"/>
    </row>
    <row r="626" ht="14.25" customHeight="1">
      <c r="B626" s="112"/>
    </row>
    <row r="627" ht="14.25" customHeight="1">
      <c r="B627" s="112"/>
    </row>
    <row r="628" ht="14.25" customHeight="1">
      <c r="B628" s="112"/>
    </row>
    <row r="629" ht="14.25" customHeight="1">
      <c r="B629" s="112"/>
    </row>
    <row r="630" ht="14.25" customHeight="1">
      <c r="B630" s="112"/>
    </row>
    <row r="631" ht="14.25" customHeight="1">
      <c r="B631" s="112"/>
    </row>
    <row r="632" ht="14.25" customHeight="1">
      <c r="B632" s="112"/>
    </row>
    <row r="633" ht="14.25" customHeight="1">
      <c r="B633" s="112"/>
    </row>
    <row r="634" ht="14.25" customHeight="1">
      <c r="B634" s="112"/>
    </row>
    <row r="635" ht="14.25" customHeight="1">
      <c r="B635" s="112"/>
    </row>
    <row r="636" ht="14.25" customHeight="1">
      <c r="B636" s="112"/>
    </row>
    <row r="637" ht="14.25" customHeight="1">
      <c r="B637" s="112"/>
    </row>
    <row r="638" ht="14.25" customHeight="1">
      <c r="B638" s="112"/>
    </row>
    <row r="639" ht="14.25" customHeight="1">
      <c r="B639" s="112"/>
    </row>
    <row r="640" ht="14.25" customHeight="1">
      <c r="B640" s="112"/>
    </row>
    <row r="641" ht="14.25" customHeight="1">
      <c r="B641" s="112"/>
    </row>
    <row r="642" ht="14.25" customHeight="1">
      <c r="B642" s="112"/>
    </row>
    <row r="643" ht="14.25" customHeight="1">
      <c r="B643" s="112"/>
    </row>
    <row r="644" ht="14.25" customHeight="1">
      <c r="B644" s="112"/>
    </row>
    <row r="645" ht="14.25" customHeight="1">
      <c r="B645" s="112"/>
    </row>
    <row r="646" ht="14.25" customHeight="1">
      <c r="B646" s="112"/>
    </row>
    <row r="647" ht="14.25" customHeight="1">
      <c r="B647" s="112"/>
    </row>
    <row r="648" ht="14.25" customHeight="1">
      <c r="B648" s="112"/>
    </row>
    <row r="649" ht="14.25" customHeight="1">
      <c r="B649" s="112"/>
    </row>
    <row r="650" ht="14.25" customHeight="1">
      <c r="B650" s="112"/>
    </row>
    <row r="651" ht="14.25" customHeight="1">
      <c r="B651" s="112"/>
    </row>
    <row r="652" ht="14.25" customHeight="1">
      <c r="B652" s="112"/>
    </row>
    <row r="653" ht="14.25" customHeight="1">
      <c r="B653" s="112"/>
    </row>
    <row r="654" ht="14.25" customHeight="1">
      <c r="B654" s="112"/>
    </row>
    <row r="655" ht="14.25" customHeight="1">
      <c r="B655" s="112"/>
    </row>
    <row r="656" ht="14.25" customHeight="1">
      <c r="B656" s="112"/>
    </row>
    <row r="657" ht="14.25" customHeight="1">
      <c r="B657" s="112"/>
    </row>
    <row r="658" ht="14.25" customHeight="1">
      <c r="B658" s="112"/>
    </row>
    <row r="659" ht="14.25" customHeight="1">
      <c r="B659" s="112"/>
    </row>
    <row r="660" ht="14.25" customHeight="1">
      <c r="B660" s="112"/>
    </row>
    <row r="661" ht="14.25" customHeight="1">
      <c r="B661" s="112"/>
    </row>
    <row r="662" ht="14.25" customHeight="1">
      <c r="B662" s="112"/>
    </row>
    <row r="663" ht="14.25" customHeight="1">
      <c r="B663" s="112"/>
    </row>
    <row r="664" ht="14.25" customHeight="1">
      <c r="B664" s="112"/>
    </row>
    <row r="665" ht="14.25" customHeight="1">
      <c r="B665" s="112"/>
    </row>
    <row r="666" ht="14.25" customHeight="1">
      <c r="B666" s="112"/>
    </row>
    <row r="667" ht="14.25" customHeight="1">
      <c r="B667" s="112"/>
    </row>
    <row r="668" ht="14.25" customHeight="1">
      <c r="B668" s="112"/>
    </row>
    <row r="669" ht="14.25" customHeight="1">
      <c r="B669" s="112"/>
    </row>
    <row r="670" ht="14.25" customHeight="1">
      <c r="B670" s="112"/>
    </row>
    <row r="671" ht="14.25" customHeight="1">
      <c r="B671" s="112"/>
    </row>
    <row r="672" ht="14.25" customHeight="1">
      <c r="B672" s="112"/>
    </row>
    <row r="673" ht="14.25" customHeight="1">
      <c r="B673" s="112"/>
    </row>
    <row r="674" ht="14.25" customHeight="1">
      <c r="B674" s="112"/>
    </row>
    <row r="675" ht="14.25" customHeight="1">
      <c r="B675" s="112"/>
    </row>
    <row r="676" ht="14.25" customHeight="1">
      <c r="B676" s="112"/>
    </row>
    <row r="677" ht="14.25" customHeight="1">
      <c r="B677" s="112"/>
    </row>
    <row r="678" ht="14.25" customHeight="1">
      <c r="B678" s="112"/>
    </row>
    <row r="679" ht="14.25" customHeight="1">
      <c r="B679" s="112"/>
    </row>
    <row r="680" ht="14.25" customHeight="1">
      <c r="B680" s="112"/>
    </row>
    <row r="681" ht="14.25" customHeight="1">
      <c r="B681" s="112"/>
    </row>
    <row r="682" ht="14.25" customHeight="1">
      <c r="B682" s="112"/>
    </row>
    <row r="683" ht="14.25" customHeight="1">
      <c r="B683" s="112"/>
    </row>
    <row r="684" ht="14.25" customHeight="1">
      <c r="B684" s="112"/>
    </row>
    <row r="685" ht="14.25" customHeight="1">
      <c r="B685" s="112"/>
    </row>
    <row r="686" ht="14.25" customHeight="1">
      <c r="B686" s="112"/>
    </row>
    <row r="687" ht="14.25" customHeight="1">
      <c r="B687" s="112"/>
    </row>
    <row r="688" ht="14.25" customHeight="1">
      <c r="B688" s="112"/>
    </row>
    <row r="689" ht="14.25" customHeight="1">
      <c r="B689" s="112"/>
    </row>
    <row r="690" ht="14.25" customHeight="1">
      <c r="B690" s="112"/>
    </row>
    <row r="691" ht="14.25" customHeight="1">
      <c r="B691" s="112"/>
    </row>
    <row r="692" ht="14.25" customHeight="1">
      <c r="B692" s="112"/>
    </row>
    <row r="693" ht="14.25" customHeight="1">
      <c r="B693" s="112"/>
    </row>
    <row r="694" ht="14.25" customHeight="1">
      <c r="B694" s="112"/>
    </row>
    <row r="695" ht="14.25" customHeight="1">
      <c r="B695" s="112"/>
    </row>
    <row r="696" ht="14.25" customHeight="1">
      <c r="B696" s="112"/>
    </row>
    <row r="697" ht="14.25" customHeight="1">
      <c r="B697" s="112"/>
    </row>
    <row r="698" ht="14.25" customHeight="1">
      <c r="B698" s="112"/>
    </row>
    <row r="699" ht="14.25" customHeight="1">
      <c r="B699" s="112"/>
    </row>
    <row r="700" ht="14.25" customHeight="1">
      <c r="B700" s="112"/>
    </row>
    <row r="701" ht="14.25" customHeight="1">
      <c r="B701" s="112"/>
    </row>
    <row r="702" ht="14.25" customHeight="1">
      <c r="B702" s="112"/>
    </row>
    <row r="703" ht="14.25" customHeight="1">
      <c r="B703" s="112"/>
    </row>
    <row r="704" ht="14.25" customHeight="1">
      <c r="B704" s="112"/>
    </row>
    <row r="705" ht="14.25" customHeight="1">
      <c r="B705" s="112"/>
    </row>
    <row r="706" ht="14.25" customHeight="1">
      <c r="B706" s="112"/>
    </row>
    <row r="707" ht="14.25" customHeight="1">
      <c r="B707" s="112"/>
    </row>
    <row r="708" ht="14.25" customHeight="1">
      <c r="B708" s="112"/>
    </row>
    <row r="709" ht="14.25" customHeight="1">
      <c r="B709" s="112"/>
    </row>
    <row r="710" ht="14.25" customHeight="1">
      <c r="B710" s="112"/>
    </row>
    <row r="711" ht="14.25" customHeight="1">
      <c r="B711" s="112"/>
    </row>
    <row r="712" ht="14.25" customHeight="1">
      <c r="B712" s="112"/>
    </row>
    <row r="713" ht="14.25" customHeight="1">
      <c r="B713" s="112"/>
    </row>
    <row r="714" ht="14.25" customHeight="1">
      <c r="B714" s="112"/>
    </row>
    <row r="715" ht="14.25" customHeight="1">
      <c r="B715" s="112"/>
    </row>
    <row r="716" ht="14.25" customHeight="1">
      <c r="B716" s="112"/>
    </row>
    <row r="717" ht="14.25" customHeight="1">
      <c r="B717" s="112"/>
    </row>
    <row r="718" ht="14.25" customHeight="1">
      <c r="B718" s="112"/>
    </row>
    <row r="719" ht="14.25" customHeight="1">
      <c r="B719" s="112"/>
    </row>
    <row r="720" ht="14.25" customHeight="1">
      <c r="B720" s="112"/>
    </row>
    <row r="721" ht="14.25" customHeight="1">
      <c r="B721" s="112"/>
    </row>
    <row r="722" ht="14.25" customHeight="1">
      <c r="B722" s="112"/>
    </row>
    <row r="723" ht="14.25" customHeight="1">
      <c r="B723" s="112"/>
    </row>
    <row r="724" ht="14.25" customHeight="1">
      <c r="B724" s="112"/>
    </row>
    <row r="725" ht="14.25" customHeight="1">
      <c r="B725" s="112"/>
    </row>
    <row r="726" ht="14.25" customHeight="1">
      <c r="B726" s="112"/>
    </row>
    <row r="727" ht="14.25" customHeight="1">
      <c r="B727" s="112"/>
    </row>
    <row r="728" ht="14.25" customHeight="1">
      <c r="B728" s="112"/>
    </row>
    <row r="729" ht="14.25" customHeight="1">
      <c r="B729" s="112"/>
    </row>
    <row r="730" ht="14.25" customHeight="1">
      <c r="B730" s="112"/>
    </row>
    <row r="731" ht="14.25" customHeight="1">
      <c r="B731" s="112"/>
    </row>
    <row r="732" ht="14.25" customHeight="1">
      <c r="B732" s="112"/>
    </row>
    <row r="733" ht="14.25" customHeight="1">
      <c r="B733" s="112"/>
    </row>
    <row r="734" ht="14.25" customHeight="1">
      <c r="B734" s="112"/>
    </row>
    <row r="735" ht="14.25" customHeight="1">
      <c r="B735" s="112"/>
    </row>
    <row r="736" ht="14.25" customHeight="1">
      <c r="B736" s="112"/>
    </row>
    <row r="737" ht="14.25" customHeight="1">
      <c r="B737" s="112"/>
    </row>
    <row r="738" ht="14.25" customHeight="1">
      <c r="B738" s="112"/>
    </row>
    <row r="739" ht="14.25" customHeight="1">
      <c r="B739" s="112"/>
    </row>
    <row r="740" ht="14.25" customHeight="1">
      <c r="B740" s="112"/>
    </row>
    <row r="741" ht="14.25" customHeight="1">
      <c r="B741" s="112"/>
    </row>
    <row r="742" ht="14.25" customHeight="1">
      <c r="B742" s="112"/>
    </row>
    <row r="743" ht="14.25" customHeight="1">
      <c r="B743" s="112"/>
    </row>
    <row r="744" ht="14.25" customHeight="1">
      <c r="B744" s="112"/>
    </row>
    <row r="745" ht="14.25" customHeight="1">
      <c r="B745" s="112"/>
    </row>
    <row r="746" ht="14.25" customHeight="1">
      <c r="B746" s="112"/>
    </row>
    <row r="747" ht="14.25" customHeight="1">
      <c r="B747" s="112"/>
    </row>
    <row r="748" ht="14.25" customHeight="1">
      <c r="B748" s="112"/>
    </row>
    <row r="749" ht="14.25" customHeight="1">
      <c r="B749" s="112"/>
    </row>
    <row r="750" ht="14.25" customHeight="1">
      <c r="B750" s="112"/>
    </row>
    <row r="751" ht="14.25" customHeight="1">
      <c r="B751" s="112"/>
    </row>
    <row r="752" ht="14.25" customHeight="1">
      <c r="B752" s="112"/>
    </row>
    <row r="753" ht="14.25" customHeight="1">
      <c r="B753" s="112"/>
    </row>
    <row r="754" ht="14.25" customHeight="1">
      <c r="B754" s="112"/>
    </row>
    <row r="755" ht="14.25" customHeight="1">
      <c r="B755" s="112"/>
    </row>
    <row r="756" ht="14.25" customHeight="1">
      <c r="B756" s="112"/>
    </row>
    <row r="757" ht="14.25" customHeight="1">
      <c r="B757" s="112"/>
    </row>
    <row r="758" ht="14.25" customHeight="1">
      <c r="B758" s="112"/>
    </row>
    <row r="759" ht="14.25" customHeight="1">
      <c r="B759" s="112"/>
    </row>
    <row r="760" ht="14.25" customHeight="1">
      <c r="B760" s="112"/>
    </row>
    <row r="761" ht="14.25" customHeight="1">
      <c r="B761" s="112"/>
    </row>
    <row r="762" ht="14.25" customHeight="1">
      <c r="B762" s="112"/>
    </row>
    <row r="763" ht="14.25" customHeight="1">
      <c r="B763" s="112"/>
    </row>
    <row r="764" ht="14.25" customHeight="1">
      <c r="B764" s="112"/>
    </row>
    <row r="765" ht="14.25" customHeight="1">
      <c r="B765" s="112"/>
    </row>
    <row r="766" ht="14.25" customHeight="1">
      <c r="B766" s="112"/>
    </row>
    <row r="767" ht="14.25" customHeight="1">
      <c r="B767" s="112"/>
    </row>
    <row r="768" ht="14.25" customHeight="1">
      <c r="B768" s="112"/>
    </row>
    <row r="769" ht="14.25" customHeight="1">
      <c r="B769" s="112"/>
    </row>
    <row r="770" ht="14.25" customHeight="1">
      <c r="B770" s="112"/>
    </row>
    <row r="771" ht="14.25" customHeight="1">
      <c r="B771" s="112"/>
    </row>
    <row r="772" ht="14.25" customHeight="1">
      <c r="B772" s="112"/>
    </row>
    <row r="773" ht="14.25" customHeight="1">
      <c r="B773" s="112"/>
    </row>
    <row r="774" ht="14.25" customHeight="1">
      <c r="B774" s="112"/>
    </row>
    <row r="775" ht="14.25" customHeight="1">
      <c r="B775" s="112"/>
    </row>
    <row r="776" ht="14.25" customHeight="1">
      <c r="B776" s="112"/>
    </row>
    <row r="777" ht="14.25" customHeight="1">
      <c r="B777" s="112"/>
    </row>
    <row r="778" ht="14.25" customHeight="1">
      <c r="B778" s="112"/>
    </row>
    <row r="779" ht="14.25" customHeight="1">
      <c r="B779" s="112"/>
    </row>
    <row r="780" ht="14.25" customHeight="1">
      <c r="B780" s="112"/>
    </row>
    <row r="781" ht="14.25" customHeight="1">
      <c r="B781" s="112"/>
    </row>
    <row r="782" ht="14.25" customHeight="1">
      <c r="B782" s="112"/>
    </row>
    <row r="783" ht="14.25" customHeight="1">
      <c r="B783" s="112"/>
    </row>
    <row r="784" ht="14.25" customHeight="1">
      <c r="B784" s="112"/>
    </row>
    <row r="785" ht="14.25" customHeight="1">
      <c r="B785" s="112"/>
    </row>
    <row r="786" ht="14.25" customHeight="1">
      <c r="B786" s="112"/>
    </row>
    <row r="787" ht="14.25" customHeight="1">
      <c r="B787" s="112"/>
    </row>
    <row r="788" ht="14.25" customHeight="1">
      <c r="B788" s="112"/>
    </row>
    <row r="789" ht="14.25" customHeight="1">
      <c r="B789" s="112"/>
    </row>
    <row r="790" ht="14.25" customHeight="1">
      <c r="B790" s="112"/>
    </row>
    <row r="791" ht="14.25" customHeight="1">
      <c r="B791" s="112"/>
    </row>
    <row r="792" ht="14.25" customHeight="1">
      <c r="B792" s="112"/>
    </row>
    <row r="793" ht="14.25" customHeight="1">
      <c r="B793" s="112"/>
    </row>
    <row r="794" ht="14.25" customHeight="1">
      <c r="B794" s="112"/>
    </row>
    <row r="795" ht="14.25" customHeight="1">
      <c r="B795" s="112"/>
    </row>
    <row r="796" ht="14.25" customHeight="1">
      <c r="B796" s="112"/>
    </row>
    <row r="797" ht="14.25" customHeight="1">
      <c r="B797" s="112"/>
    </row>
    <row r="798" ht="14.25" customHeight="1">
      <c r="B798" s="112"/>
    </row>
    <row r="799" ht="14.25" customHeight="1">
      <c r="B799" s="112"/>
    </row>
    <row r="800" ht="14.25" customHeight="1">
      <c r="B800" s="112"/>
    </row>
    <row r="801" ht="14.25" customHeight="1">
      <c r="B801" s="112"/>
    </row>
    <row r="802" ht="14.25" customHeight="1">
      <c r="B802" s="112"/>
    </row>
    <row r="803" ht="14.25" customHeight="1">
      <c r="B803" s="112"/>
    </row>
    <row r="804" ht="14.25" customHeight="1">
      <c r="B804" s="112"/>
    </row>
    <row r="805" ht="14.25" customHeight="1">
      <c r="B805" s="112"/>
    </row>
    <row r="806" ht="14.25" customHeight="1">
      <c r="B806" s="112"/>
    </row>
    <row r="807" ht="14.25" customHeight="1">
      <c r="B807" s="112"/>
    </row>
    <row r="808" ht="14.25" customHeight="1">
      <c r="B808" s="112"/>
    </row>
    <row r="809" ht="14.25" customHeight="1">
      <c r="B809" s="112"/>
    </row>
    <row r="810" ht="14.25" customHeight="1">
      <c r="B810" s="112"/>
    </row>
    <row r="811" ht="14.25" customHeight="1">
      <c r="B811" s="112"/>
    </row>
    <row r="812" ht="14.25" customHeight="1">
      <c r="B812" s="112"/>
    </row>
    <row r="813" ht="14.25" customHeight="1">
      <c r="B813" s="112"/>
    </row>
    <row r="814" ht="14.25" customHeight="1">
      <c r="B814" s="112"/>
    </row>
    <row r="815" ht="14.25" customHeight="1">
      <c r="B815" s="112"/>
    </row>
    <row r="816" ht="14.25" customHeight="1">
      <c r="B816" s="112"/>
    </row>
    <row r="817" ht="14.25" customHeight="1">
      <c r="B817" s="112"/>
    </row>
    <row r="818" ht="14.25" customHeight="1">
      <c r="B818" s="112"/>
    </row>
    <row r="819" ht="14.25" customHeight="1">
      <c r="B819" s="112"/>
    </row>
    <row r="820" ht="14.25" customHeight="1">
      <c r="B820" s="112"/>
    </row>
    <row r="821" ht="14.25" customHeight="1">
      <c r="B821" s="112"/>
    </row>
    <row r="822" ht="14.25" customHeight="1">
      <c r="B822" s="112"/>
    </row>
    <row r="823" ht="14.25" customHeight="1">
      <c r="B823" s="112"/>
    </row>
    <row r="824" ht="14.25" customHeight="1">
      <c r="B824" s="112"/>
    </row>
    <row r="825" ht="14.25" customHeight="1">
      <c r="B825" s="112"/>
    </row>
    <row r="826" ht="14.25" customHeight="1">
      <c r="B826" s="112"/>
    </row>
    <row r="827" ht="14.25" customHeight="1">
      <c r="B827" s="112"/>
    </row>
    <row r="828" ht="14.25" customHeight="1">
      <c r="B828" s="112"/>
    </row>
    <row r="829" ht="14.25" customHeight="1">
      <c r="B829" s="112"/>
    </row>
    <row r="830" ht="14.25" customHeight="1">
      <c r="B830" s="112"/>
    </row>
    <row r="831" ht="14.25" customHeight="1">
      <c r="B831" s="112"/>
    </row>
    <row r="832" ht="14.25" customHeight="1">
      <c r="B832" s="112"/>
    </row>
    <row r="833" ht="14.25" customHeight="1">
      <c r="B833" s="112"/>
    </row>
    <row r="834" ht="14.25" customHeight="1">
      <c r="B834" s="112"/>
    </row>
    <row r="835" ht="14.25" customHeight="1">
      <c r="B835" s="112"/>
    </row>
    <row r="836" ht="14.25" customHeight="1">
      <c r="B836" s="112"/>
    </row>
    <row r="837" ht="14.25" customHeight="1">
      <c r="B837" s="112"/>
    </row>
    <row r="838" ht="14.25" customHeight="1">
      <c r="B838" s="112"/>
    </row>
    <row r="839" ht="14.25" customHeight="1">
      <c r="B839" s="112"/>
    </row>
    <row r="840" ht="14.25" customHeight="1">
      <c r="B840" s="112"/>
    </row>
    <row r="841" ht="14.25" customHeight="1">
      <c r="B841" s="112"/>
    </row>
    <row r="842" ht="14.25" customHeight="1">
      <c r="B842" s="112"/>
    </row>
    <row r="843" ht="14.25" customHeight="1">
      <c r="B843" s="112"/>
    </row>
    <row r="844" ht="14.25" customHeight="1">
      <c r="B844" s="112"/>
    </row>
    <row r="845" ht="14.25" customHeight="1">
      <c r="B845" s="112"/>
    </row>
    <row r="846" ht="14.25" customHeight="1">
      <c r="B846" s="112"/>
    </row>
    <row r="847" ht="14.25" customHeight="1">
      <c r="B847" s="112"/>
    </row>
    <row r="848" ht="14.25" customHeight="1">
      <c r="B848" s="112"/>
    </row>
    <row r="849" ht="14.25" customHeight="1">
      <c r="B849" s="112"/>
    </row>
    <row r="850" ht="14.25" customHeight="1">
      <c r="B850" s="112"/>
    </row>
    <row r="851" ht="14.25" customHeight="1">
      <c r="B851" s="112"/>
    </row>
    <row r="852" ht="14.25" customHeight="1">
      <c r="B852" s="112"/>
    </row>
    <row r="853" ht="14.25" customHeight="1">
      <c r="B853" s="112"/>
    </row>
    <row r="854" ht="14.25" customHeight="1">
      <c r="B854" s="112"/>
    </row>
    <row r="855" ht="14.25" customHeight="1">
      <c r="B855" s="112"/>
    </row>
    <row r="856" ht="14.25" customHeight="1">
      <c r="B856" s="112"/>
    </row>
    <row r="857" ht="14.25" customHeight="1">
      <c r="B857" s="112"/>
    </row>
    <row r="858" ht="14.25" customHeight="1">
      <c r="B858" s="112"/>
    </row>
    <row r="859" ht="14.25" customHeight="1">
      <c r="B859" s="112"/>
    </row>
    <row r="860" ht="14.25" customHeight="1">
      <c r="B860" s="112"/>
    </row>
    <row r="861" ht="14.25" customHeight="1">
      <c r="B861" s="112"/>
    </row>
    <row r="862" ht="14.25" customHeight="1">
      <c r="B862" s="112"/>
    </row>
    <row r="863" ht="14.25" customHeight="1">
      <c r="B863" s="112"/>
    </row>
    <row r="864" ht="14.25" customHeight="1">
      <c r="B864" s="112"/>
    </row>
    <row r="865" ht="14.25" customHeight="1">
      <c r="B865" s="112"/>
    </row>
    <row r="866" ht="14.25" customHeight="1">
      <c r="B866" s="112"/>
    </row>
    <row r="867" ht="14.25" customHeight="1">
      <c r="B867" s="112"/>
    </row>
    <row r="868" ht="14.25" customHeight="1">
      <c r="B868" s="112"/>
    </row>
    <row r="869" ht="14.25" customHeight="1">
      <c r="B869" s="112"/>
    </row>
    <row r="870" ht="14.25" customHeight="1">
      <c r="B870" s="112"/>
    </row>
    <row r="871" ht="14.25" customHeight="1">
      <c r="B871" s="112"/>
    </row>
    <row r="872" ht="14.25" customHeight="1">
      <c r="B872" s="112"/>
    </row>
    <row r="873" ht="14.25" customHeight="1">
      <c r="B873" s="112"/>
    </row>
    <row r="874" ht="14.25" customHeight="1">
      <c r="B874" s="112"/>
    </row>
    <row r="875" ht="14.25" customHeight="1">
      <c r="B875" s="112"/>
    </row>
    <row r="876" ht="14.25" customHeight="1">
      <c r="B876" s="112"/>
    </row>
    <row r="877" ht="14.25" customHeight="1">
      <c r="B877" s="112"/>
    </row>
    <row r="878" ht="14.25" customHeight="1">
      <c r="B878" s="112"/>
    </row>
    <row r="879" ht="14.25" customHeight="1">
      <c r="B879" s="112"/>
    </row>
    <row r="880" ht="14.25" customHeight="1">
      <c r="B880" s="112"/>
    </row>
    <row r="881" ht="14.25" customHeight="1">
      <c r="B881" s="112"/>
    </row>
    <row r="882" ht="14.25" customHeight="1">
      <c r="B882" s="112"/>
    </row>
    <row r="883" ht="14.25" customHeight="1">
      <c r="B883" s="112"/>
    </row>
    <row r="884" ht="14.25" customHeight="1">
      <c r="B884" s="112"/>
    </row>
    <row r="885" ht="14.25" customHeight="1">
      <c r="B885" s="112"/>
    </row>
    <row r="886" ht="14.25" customHeight="1">
      <c r="B886" s="112"/>
    </row>
    <row r="887" ht="14.25" customHeight="1">
      <c r="B887" s="112"/>
    </row>
    <row r="888" ht="14.25" customHeight="1">
      <c r="B888" s="112"/>
    </row>
    <row r="889" ht="14.25" customHeight="1">
      <c r="B889" s="112"/>
    </row>
    <row r="890" ht="14.25" customHeight="1">
      <c r="B890" s="112"/>
    </row>
    <row r="891" ht="14.25" customHeight="1">
      <c r="B891" s="112"/>
    </row>
    <row r="892" ht="14.25" customHeight="1">
      <c r="B892" s="112"/>
    </row>
    <row r="893" ht="14.25" customHeight="1">
      <c r="B893" s="112"/>
    </row>
    <row r="894" ht="14.25" customHeight="1">
      <c r="B894" s="112"/>
    </row>
    <row r="895" ht="14.25" customHeight="1">
      <c r="B895" s="112"/>
    </row>
    <row r="896" ht="14.25" customHeight="1">
      <c r="B896" s="112"/>
    </row>
    <row r="897" ht="14.25" customHeight="1">
      <c r="B897" s="112"/>
    </row>
    <row r="898" ht="14.25" customHeight="1">
      <c r="B898" s="112"/>
    </row>
    <row r="899" ht="14.25" customHeight="1">
      <c r="B899" s="112"/>
    </row>
    <row r="900" ht="14.25" customHeight="1">
      <c r="B900" s="112"/>
    </row>
    <row r="901" ht="14.25" customHeight="1">
      <c r="B901" s="112"/>
    </row>
    <row r="902" ht="14.25" customHeight="1">
      <c r="B902" s="112"/>
    </row>
    <row r="903" ht="14.25" customHeight="1">
      <c r="B903" s="112"/>
    </row>
    <row r="904" ht="14.25" customHeight="1">
      <c r="B904" s="112"/>
    </row>
    <row r="905" ht="14.25" customHeight="1">
      <c r="B905" s="112"/>
    </row>
    <row r="906" ht="14.25" customHeight="1">
      <c r="B906" s="112"/>
    </row>
    <row r="907" ht="14.25" customHeight="1">
      <c r="B907" s="112"/>
    </row>
    <row r="908" ht="14.25" customHeight="1">
      <c r="B908" s="112"/>
    </row>
    <row r="909" ht="14.25" customHeight="1">
      <c r="B909" s="112"/>
    </row>
    <row r="910" ht="14.25" customHeight="1">
      <c r="B910" s="112"/>
    </row>
    <row r="911" ht="14.25" customHeight="1">
      <c r="B911" s="112"/>
    </row>
    <row r="912" ht="14.25" customHeight="1">
      <c r="B912" s="112"/>
    </row>
    <row r="913" ht="14.25" customHeight="1">
      <c r="B913" s="112"/>
    </row>
    <row r="914" ht="14.25" customHeight="1">
      <c r="B914" s="112"/>
    </row>
    <row r="915" ht="14.25" customHeight="1">
      <c r="B915" s="112"/>
    </row>
    <row r="916" ht="14.25" customHeight="1">
      <c r="B916" s="112"/>
    </row>
    <row r="917" ht="14.25" customHeight="1">
      <c r="B917" s="112"/>
    </row>
    <row r="918" ht="14.25" customHeight="1">
      <c r="B918" s="112"/>
    </row>
    <row r="919" ht="14.25" customHeight="1">
      <c r="B919" s="112"/>
    </row>
    <row r="920" ht="14.25" customHeight="1">
      <c r="B920" s="112"/>
    </row>
    <row r="921" ht="14.25" customHeight="1">
      <c r="B921" s="112"/>
    </row>
    <row r="922" ht="14.25" customHeight="1">
      <c r="B922" s="112"/>
    </row>
    <row r="923" ht="14.25" customHeight="1">
      <c r="B923" s="112"/>
    </row>
    <row r="924" ht="14.25" customHeight="1">
      <c r="B924" s="112"/>
    </row>
    <row r="925" ht="14.25" customHeight="1">
      <c r="B925" s="112"/>
    </row>
    <row r="926" ht="14.25" customHeight="1">
      <c r="B926" s="112"/>
    </row>
    <row r="927" ht="14.25" customHeight="1">
      <c r="B927" s="112"/>
    </row>
    <row r="928" ht="14.25" customHeight="1">
      <c r="B928" s="112"/>
    </row>
    <row r="929" ht="14.25" customHeight="1">
      <c r="B929" s="112"/>
    </row>
    <row r="930" ht="14.25" customHeight="1">
      <c r="B930" s="112"/>
    </row>
    <row r="931" ht="14.25" customHeight="1">
      <c r="B931" s="112"/>
    </row>
    <row r="932" ht="14.25" customHeight="1">
      <c r="B932" s="112"/>
    </row>
    <row r="933" ht="14.25" customHeight="1">
      <c r="B933" s="112"/>
    </row>
    <row r="934" ht="14.25" customHeight="1">
      <c r="B934" s="112"/>
    </row>
    <row r="935" ht="14.25" customHeight="1">
      <c r="B935" s="112"/>
    </row>
    <row r="936" ht="14.25" customHeight="1">
      <c r="B936" s="112"/>
    </row>
    <row r="937" ht="14.25" customHeight="1">
      <c r="B937" s="112"/>
    </row>
    <row r="938" ht="14.25" customHeight="1">
      <c r="B938" s="112"/>
    </row>
    <row r="939" ht="14.25" customHeight="1">
      <c r="B939" s="112"/>
    </row>
    <row r="940" ht="14.25" customHeight="1">
      <c r="B940" s="112"/>
    </row>
    <row r="941" ht="14.25" customHeight="1">
      <c r="B941" s="112"/>
    </row>
    <row r="942" ht="14.25" customHeight="1">
      <c r="B942" s="112"/>
    </row>
    <row r="943" ht="14.25" customHeight="1">
      <c r="B943" s="112"/>
    </row>
    <row r="944" ht="14.25" customHeight="1">
      <c r="B944" s="112"/>
    </row>
    <row r="945" ht="14.25" customHeight="1">
      <c r="B945" s="112"/>
    </row>
    <row r="946" ht="14.25" customHeight="1">
      <c r="B946" s="112"/>
    </row>
    <row r="947" ht="14.25" customHeight="1">
      <c r="B947" s="112"/>
    </row>
    <row r="948" ht="14.25" customHeight="1">
      <c r="B948" s="112"/>
    </row>
    <row r="949" ht="14.25" customHeight="1">
      <c r="B949" s="112"/>
    </row>
    <row r="950" ht="14.25" customHeight="1">
      <c r="B950" s="112"/>
    </row>
    <row r="951" ht="14.25" customHeight="1">
      <c r="B951" s="112"/>
    </row>
    <row r="952" ht="14.25" customHeight="1">
      <c r="B952" s="112"/>
    </row>
    <row r="953" ht="14.25" customHeight="1">
      <c r="B953" s="112"/>
    </row>
    <row r="954" ht="14.25" customHeight="1">
      <c r="B954" s="112"/>
    </row>
    <row r="955" ht="14.25" customHeight="1">
      <c r="B955" s="112"/>
    </row>
    <row r="956" ht="14.25" customHeight="1">
      <c r="B956" s="112"/>
    </row>
    <row r="957" ht="14.25" customHeight="1">
      <c r="B957" s="112"/>
    </row>
    <row r="958" ht="14.25" customHeight="1">
      <c r="B958" s="112"/>
    </row>
    <row r="959" ht="14.25" customHeight="1">
      <c r="B959" s="112"/>
    </row>
    <row r="960" ht="14.25" customHeight="1">
      <c r="B960" s="112"/>
    </row>
    <row r="961" ht="14.25" customHeight="1">
      <c r="B961" s="112"/>
    </row>
    <row r="962" ht="14.25" customHeight="1">
      <c r="B962" s="112"/>
    </row>
    <row r="963" ht="14.25" customHeight="1">
      <c r="B963" s="112"/>
    </row>
    <row r="964" ht="14.25" customHeight="1">
      <c r="B964" s="112"/>
    </row>
    <row r="965" ht="14.25" customHeight="1">
      <c r="B965" s="112"/>
    </row>
    <row r="966" ht="14.25" customHeight="1">
      <c r="B966" s="112"/>
    </row>
    <row r="967" ht="14.25" customHeight="1">
      <c r="B967" s="112"/>
    </row>
    <row r="968" ht="14.25" customHeight="1">
      <c r="B968" s="112"/>
    </row>
    <row r="969" ht="14.25" customHeight="1">
      <c r="B969" s="112"/>
    </row>
    <row r="970" ht="14.25" customHeight="1">
      <c r="B970" s="112"/>
    </row>
    <row r="971" ht="14.25" customHeight="1">
      <c r="B971" s="112"/>
    </row>
    <row r="972" ht="14.25" customHeight="1">
      <c r="B972" s="112"/>
    </row>
    <row r="973" ht="14.25" customHeight="1">
      <c r="B973" s="112"/>
    </row>
    <row r="974" ht="14.25" customHeight="1">
      <c r="B974" s="112"/>
    </row>
    <row r="975" ht="14.25" customHeight="1">
      <c r="B975" s="112"/>
    </row>
    <row r="976" ht="14.25" customHeight="1">
      <c r="B976" s="112"/>
    </row>
    <row r="977" ht="14.25" customHeight="1">
      <c r="B977" s="112"/>
    </row>
    <row r="978" ht="14.25" customHeight="1">
      <c r="B978" s="112"/>
    </row>
    <row r="979" ht="14.25" customHeight="1">
      <c r="B979" s="112"/>
    </row>
    <row r="980" ht="14.25" customHeight="1">
      <c r="B980" s="112"/>
    </row>
    <row r="981" ht="14.25" customHeight="1">
      <c r="B981" s="112"/>
    </row>
    <row r="982" ht="14.25" customHeight="1">
      <c r="B982" s="112"/>
    </row>
    <row r="983" ht="14.25" customHeight="1">
      <c r="B983" s="112"/>
    </row>
    <row r="984" ht="14.25" customHeight="1">
      <c r="B984" s="112"/>
    </row>
    <row r="985" ht="14.25" customHeight="1">
      <c r="B985" s="112"/>
    </row>
    <row r="986" ht="14.25" customHeight="1">
      <c r="B986" s="112"/>
    </row>
    <row r="987" ht="14.25" customHeight="1">
      <c r="B987" s="112"/>
    </row>
    <row r="988" ht="14.25" customHeight="1">
      <c r="B988" s="112"/>
    </row>
    <row r="989" ht="14.25" customHeight="1">
      <c r="B989" s="112"/>
    </row>
    <row r="990" ht="14.25" customHeight="1">
      <c r="B990" s="112"/>
    </row>
    <row r="991" ht="14.25" customHeight="1">
      <c r="B991" s="112"/>
    </row>
    <row r="992" ht="14.25" customHeight="1">
      <c r="B992" s="112"/>
    </row>
    <row r="993" ht="14.25" customHeight="1">
      <c r="B993" s="112"/>
    </row>
    <row r="994" ht="14.25" customHeight="1">
      <c r="B994" s="112"/>
    </row>
    <row r="995" ht="14.25" customHeight="1">
      <c r="B995" s="112"/>
    </row>
    <row r="996" ht="14.25" customHeight="1">
      <c r="B996" s="112"/>
    </row>
    <row r="997" ht="14.25" customHeight="1">
      <c r="B997" s="112"/>
    </row>
    <row r="998" ht="14.25" customHeight="1">
      <c r="B998" s="112"/>
    </row>
    <row r="999" ht="14.25" customHeight="1">
      <c r="B999" s="112"/>
    </row>
    <row r="1000" ht="14.25" customHeight="1">
      <c r="B1000" s="112"/>
    </row>
  </sheetData>
  <dataValidations>
    <dataValidation type="list" allowBlank="1" showErrorMessage="1" sqref="A1:A7">
      <formula1>EXTRA</formula1>
    </dataValidation>
  </dataValidations>
  <printOptions/>
  <pageMargins bottom="0.75" footer="0.0" header="0.0" left="0.7" right="0.7" top="0.75"/>
  <pageSetup orientation="portrait"/>
  <drawing r:id="rId1"/>
</worksheet>
</file>